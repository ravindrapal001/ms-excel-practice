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 Analytics\ReClasses\1.Excel\"/>
    </mc:Choice>
  </mc:AlternateContent>
  <xr:revisionPtr revIDLastSave="0" documentId="13_ncr:1_{0BE776AF-202E-4BC0-A9D2-2B322F3B0468}" xr6:coauthVersionLast="47" xr6:coauthVersionMax="47" xr10:uidLastSave="{00000000-0000-0000-0000-000000000000}"/>
  <bookViews>
    <workbookView xWindow="-110" yWindow="-110" windowWidth="19420" windowHeight="10300" firstSheet="13" activeTab="16" xr2:uid="{7F6CA21F-FA47-42DF-92A2-56BFE6F74A15}"/>
  </bookViews>
  <sheets>
    <sheet name="Assignment-1" sheetId="1" r:id="rId1"/>
    <sheet name="Assignment-2" sheetId="2" r:id="rId2"/>
    <sheet name="Assignment-3" sheetId="3" r:id="rId3"/>
    <sheet name="Assignment-4" sheetId="4" r:id="rId4"/>
    <sheet name="Assignment-5" sheetId="5" r:id="rId5"/>
    <sheet name="Assignment-6" sheetId="6" r:id="rId6"/>
    <sheet name="Assignment-7" sheetId="7" r:id="rId7"/>
    <sheet name="Assignment-8" sheetId="8" r:id="rId8"/>
    <sheet name="Assignment-9" sheetId="9" r:id="rId9"/>
    <sheet name="Assignment-10" sheetId="10" r:id="rId10"/>
    <sheet name="Assignment-11" sheetId="11" r:id="rId11"/>
    <sheet name="Assignment-12" sheetId="12" r:id="rId12"/>
    <sheet name="Assignment-13" sheetId="13" r:id="rId13"/>
    <sheet name="Assignment-14" sheetId="14" r:id="rId14"/>
    <sheet name="Assignment-15" sheetId="15" r:id="rId15"/>
    <sheet name="Assignment-16" sheetId="16" r:id="rId16"/>
    <sheet name="Assignment-17" sheetId="17" r:id="rId17"/>
    <sheet name="Assignment-18" sheetId="18" r:id="rId18"/>
  </sheets>
  <calcPr calcId="191029"/>
  <pivotCaches>
    <pivotCache cacheId="0" r:id="rId19"/>
    <pivotCache cacheId="1" r:id="rId20"/>
    <pivotCache cacheId="2" r:id="rId2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18" l="1"/>
  <c r="C13" i="18"/>
  <c r="C14" i="18"/>
  <c r="C15" i="18"/>
  <c r="C16" i="18"/>
  <c r="C17" i="18"/>
  <c r="C18" i="18"/>
  <c r="C19" i="18"/>
  <c r="C11" i="18"/>
  <c r="B12" i="18"/>
  <c r="B13" i="18"/>
  <c r="B14" i="18"/>
  <c r="B15" i="18"/>
  <c r="B16" i="18"/>
  <c r="B17" i="18"/>
  <c r="B18" i="18"/>
  <c r="B19" i="18"/>
  <c r="B11" i="18"/>
  <c r="C14" i="17"/>
  <c r="C15" i="17"/>
  <c r="C16" i="17"/>
  <c r="C17" i="17"/>
  <c r="C18" i="17"/>
  <c r="C19" i="17"/>
  <c r="C20" i="17"/>
  <c r="C21" i="17"/>
  <c r="C13" i="17"/>
  <c r="B14" i="17"/>
  <c r="B15" i="17"/>
  <c r="B16" i="17"/>
  <c r="B17" i="17"/>
  <c r="B18" i="17"/>
  <c r="B19" i="17"/>
  <c r="B20" i="17"/>
  <c r="B21" i="17"/>
  <c r="B13" i="17"/>
  <c r="B28" i="16"/>
  <c r="C26" i="16"/>
  <c r="C25" i="16"/>
  <c r="C23" i="16"/>
  <c r="C22" i="16"/>
  <c r="B20" i="16"/>
  <c r="C18" i="16"/>
  <c r="C17" i="16"/>
  <c r="B51" i="14"/>
  <c r="E49" i="14"/>
  <c r="E48" i="14"/>
  <c r="D46" i="14"/>
  <c r="D45" i="14"/>
  <c r="C43" i="14"/>
  <c r="C42" i="14"/>
  <c r="C17" i="12"/>
  <c r="C16" i="12"/>
  <c r="B14" i="12"/>
  <c r="J5" i="12"/>
  <c r="J6" i="12"/>
  <c r="J7" i="12"/>
  <c r="J8" i="12"/>
  <c r="J9" i="12"/>
  <c r="J10" i="12"/>
  <c r="J11" i="12"/>
  <c r="J4" i="12"/>
  <c r="D21" i="11"/>
  <c r="D20" i="11"/>
  <c r="D19" i="11"/>
  <c r="C17" i="11"/>
  <c r="C16" i="11"/>
  <c r="C15" i="11"/>
  <c r="B30" i="10"/>
  <c r="B28" i="10"/>
  <c r="C26" i="10"/>
  <c r="C25" i="10"/>
  <c r="C23" i="10"/>
  <c r="C22" i="10"/>
  <c r="B20" i="10"/>
  <c r="H5" i="9"/>
  <c r="H6" i="9"/>
  <c r="H7" i="9"/>
  <c r="H8" i="9"/>
  <c r="H9" i="9"/>
  <c r="H10" i="9"/>
  <c r="H11" i="9"/>
  <c r="H12" i="9"/>
  <c r="H13" i="9"/>
  <c r="H14" i="9"/>
  <c r="H15" i="9"/>
  <c r="H16" i="9"/>
  <c r="H4" i="9"/>
  <c r="G5" i="9"/>
  <c r="G6" i="9"/>
  <c r="G7" i="9"/>
  <c r="G8" i="9"/>
  <c r="G9" i="9"/>
  <c r="G10" i="9"/>
  <c r="G11" i="9"/>
  <c r="G12" i="9"/>
  <c r="G13" i="9"/>
  <c r="G14" i="9"/>
  <c r="G15" i="9"/>
  <c r="G16" i="9"/>
  <c r="G4" i="9"/>
  <c r="C26" i="8"/>
  <c r="C25" i="8"/>
  <c r="G6" i="8"/>
  <c r="G7" i="8"/>
  <c r="G8" i="8"/>
  <c r="G9" i="8"/>
  <c r="G10" i="8"/>
  <c r="G11" i="8"/>
  <c r="G12" i="8"/>
  <c r="G13" i="8"/>
  <c r="G14" i="8"/>
  <c r="G5" i="8"/>
  <c r="C22" i="8"/>
  <c r="C21" i="8"/>
  <c r="B19" i="8"/>
  <c r="B17" i="8"/>
  <c r="F6" i="8"/>
  <c r="F7" i="8"/>
  <c r="F8" i="8"/>
  <c r="F9" i="8"/>
  <c r="F10" i="8"/>
  <c r="F11" i="8"/>
  <c r="F12" i="8"/>
  <c r="F13" i="8"/>
  <c r="F14" i="8"/>
  <c r="F5" i="8"/>
  <c r="E6" i="8"/>
  <c r="E7" i="8"/>
  <c r="E8" i="8"/>
  <c r="E9" i="8"/>
  <c r="E10" i="8"/>
  <c r="E11" i="8"/>
  <c r="E12" i="8"/>
  <c r="E13" i="8"/>
  <c r="E14" i="8"/>
  <c r="E5" i="8"/>
  <c r="C5" i="7"/>
  <c r="C6" i="7"/>
  <c r="C7" i="7"/>
  <c r="C8" i="7"/>
  <c r="C9" i="7"/>
  <c r="C10" i="7"/>
  <c r="C11" i="7"/>
  <c r="C12" i="7"/>
  <c r="C13" i="7"/>
  <c r="C14" i="7"/>
  <c r="C4" i="7"/>
  <c r="D5" i="7"/>
  <c r="D6" i="7"/>
  <c r="D7" i="7"/>
  <c r="D8" i="7"/>
  <c r="D9" i="7"/>
  <c r="D10" i="7"/>
  <c r="D11" i="7"/>
  <c r="D12" i="7"/>
  <c r="D13" i="7"/>
  <c r="D14" i="7"/>
  <c r="D4" i="7"/>
  <c r="E5" i="7"/>
  <c r="E6" i="7"/>
  <c r="E7" i="7"/>
  <c r="E8" i="7"/>
  <c r="E9" i="7"/>
  <c r="E10" i="7"/>
  <c r="E11" i="7"/>
  <c r="E12" i="7"/>
  <c r="E13" i="7"/>
  <c r="E14" i="7"/>
  <c r="E4" i="7"/>
  <c r="F5" i="7"/>
  <c r="G5" i="7" s="1"/>
  <c r="F6" i="7"/>
  <c r="G6" i="7" s="1"/>
  <c r="F7" i="7"/>
  <c r="G7" i="7" s="1"/>
  <c r="F8" i="7"/>
  <c r="G8" i="7" s="1"/>
  <c r="F9" i="7"/>
  <c r="G9" i="7" s="1"/>
  <c r="F10" i="7"/>
  <c r="G10" i="7" s="1"/>
  <c r="F11" i="7"/>
  <c r="G11" i="7" s="1"/>
  <c r="F12" i="7"/>
  <c r="G12" i="7" s="1"/>
  <c r="F13" i="7"/>
  <c r="B19" i="7" s="1"/>
  <c r="F14" i="7"/>
  <c r="G14" i="7" s="1"/>
  <c r="F4" i="7"/>
  <c r="G4" i="7" s="1"/>
  <c r="B17" i="7"/>
  <c r="C40" i="6"/>
  <c r="C39" i="6"/>
  <c r="C36" i="6"/>
  <c r="C37" i="6"/>
  <c r="C35" i="6"/>
  <c r="D4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32" i="6"/>
  <c r="D31" i="6"/>
  <c r="C29" i="6"/>
  <c r="C28" i="6"/>
  <c r="C27" i="6"/>
  <c r="B25" i="6"/>
  <c r="B26" i="5" a="1"/>
  <c r="B26" i="5"/>
  <c r="B24" i="5"/>
  <c r="I22" i="5"/>
  <c r="I21" i="5"/>
  <c r="F22" i="5"/>
  <c r="F21" i="5"/>
  <c r="C22" i="5"/>
  <c r="C21" i="5"/>
  <c r="J17" i="5"/>
  <c r="J5" i="5"/>
  <c r="J6" i="5"/>
  <c r="J7" i="5"/>
  <c r="J8" i="5"/>
  <c r="J9" i="5"/>
  <c r="J10" i="5"/>
  <c r="J11" i="5"/>
  <c r="J12" i="5"/>
  <c r="J13" i="5"/>
  <c r="J14" i="5"/>
  <c r="J4" i="5"/>
  <c r="F17" i="5"/>
  <c r="B17" i="5"/>
  <c r="H5" i="5"/>
  <c r="H6" i="5"/>
  <c r="H7" i="5"/>
  <c r="H8" i="5"/>
  <c r="H9" i="5"/>
  <c r="H10" i="5"/>
  <c r="H11" i="5"/>
  <c r="H12" i="5"/>
  <c r="H13" i="5"/>
  <c r="H14" i="5"/>
  <c r="H4" i="5"/>
  <c r="C25" i="4"/>
  <c r="C24" i="4"/>
  <c r="G21" i="4"/>
  <c r="C21" i="4"/>
  <c r="I5" i="4"/>
  <c r="I6" i="4"/>
  <c r="I7" i="4"/>
  <c r="I8" i="4"/>
  <c r="I9" i="4"/>
  <c r="I10" i="4"/>
  <c r="I11" i="4"/>
  <c r="I4" i="4"/>
  <c r="G20" i="4"/>
  <c r="C20" i="4"/>
  <c r="H5" i="4"/>
  <c r="H6" i="4"/>
  <c r="H7" i="4"/>
  <c r="H8" i="4"/>
  <c r="H9" i="4"/>
  <c r="H10" i="4"/>
  <c r="H11" i="4"/>
  <c r="G4" i="4"/>
  <c r="H4" i="4"/>
  <c r="G5" i="4"/>
  <c r="G6" i="4"/>
  <c r="G7" i="4"/>
  <c r="G8" i="4"/>
  <c r="G9" i="4"/>
  <c r="G10" i="4"/>
  <c r="G11" i="4"/>
  <c r="F5" i="4"/>
  <c r="F6" i="4"/>
  <c r="F7" i="4"/>
  <c r="F8" i="4"/>
  <c r="F9" i="4"/>
  <c r="F10" i="4"/>
  <c r="F11" i="4"/>
  <c r="F4" i="4"/>
  <c r="E5" i="4"/>
  <c r="E6" i="4"/>
  <c r="E7" i="4"/>
  <c r="E8" i="4"/>
  <c r="E9" i="4"/>
  <c r="E10" i="4"/>
  <c r="E11" i="4"/>
  <c r="E4" i="4"/>
  <c r="B18" i="4"/>
  <c r="C16" i="4"/>
  <c r="C15" i="4"/>
  <c r="C14" i="4"/>
  <c r="B21" i="3"/>
  <c r="G5" i="3"/>
  <c r="G6" i="3"/>
  <c r="G7" i="3"/>
  <c r="G8" i="3"/>
  <c r="G9" i="3"/>
  <c r="G10" i="3"/>
  <c r="G11" i="3"/>
  <c r="G12" i="3"/>
  <c r="G4" i="3"/>
  <c r="F5" i="3"/>
  <c r="F6" i="3"/>
  <c r="F7" i="3"/>
  <c r="F8" i="3"/>
  <c r="F9" i="3"/>
  <c r="F10" i="3"/>
  <c r="F11" i="3"/>
  <c r="F12" i="3"/>
  <c r="F4" i="3"/>
  <c r="B17" i="3"/>
  <c r="B15" i="3"/>
  <c r="E5" i="3"/>
  <c r="E6" i="3"/>
  <c r="E7" i="3"/>
  <c r="E8" i="3"/>
  <c r="E9" i="3"/>
  <c r="E10" i="3"/>
  <c r="E11" i="3"/>
  <c r="E12" i="3"/>
  <c r="E4" i="3"/>
  <c r="F6" i="2"/>
  <c r="F7" i="2"/>
  <c r="F8" i="2"/>
  <c r="F9" i="2"/>
  <c r="F10" i="2"/>
  <c r="F11" i="2"/>
  <c r="F12" i="2"/>
  <c r="F13" i="2"/>
  <c r="F14" i="2"/>
  <c r="F5" i="2"/>
  <c r="B26" i="2"/>
  <c r="B25" i="2"/>
  <c r="B24" i="2"/>
  <c r="D21" i="2"/>
  <c r="D20" i="2"/>
  <c r="B18" i="2"/>
  <c r="E6" i="2"/>
  <c r="E7" i="2"/>
  <c r="E8" i="2"/>
  <c r="E9" i="2"/>
  <c r="E10" i="2"/>
  <c r="E11" i="2"/>
  <c r="E12" i="2"/>
  <c r="E13" i="2"/>
  <c r="E14" i="2"/>
  <c r="E5" i="2"/>
  <c r="I29" i="1"/>
  <c r="G28" i="1"/>
  <c r="H27" i="1"/>
  <c r="C25" i="1"/>
  <c r="J15" i="1"/>
  <c r="J6" i="1"/>
  <c r="I7" i="1"/>
  <c r="I8" i="1"/>
  <c r="J8" i="1" s="1"/>
  <c r="I9" i="1"/>
  <c r="J9" i="1" s="1"/>
  <c r="I10" i="1"/>
  <c r="J10" i="1" s="1"/>
  <c r="I11" i="1"/>
  <c r="J11" i="1" s="1"/>
  <c r="I12" i="1"/>
  <c r="J12" i="1" s="1"/>
  <c r="I13" i="1"/>
  <c r="J13" i="1" s="1"/>
  <c r="I14" i="1"/>
  <c r="J14" i="1" s="1"/>
  <c r="I15" i="1"/>
  <c r="I6" i="1"/>
  <c r="H7" i="1"/>
  <c r="H8" i="1"/>
  <c r="H9" i="1"/>
  <c r="H10" i="1"/>
  <c r="H11" i="1"/>
  <c r="H12" i="1"/>
  <c r="H13" i="1"/>
  <c r="H14" i="1"/>
  <c r="H15" i="1"/>
  <c r="H6" i="1"/>
  <c r="B24" i="7" l="1"/>
  <c r="G13" i="7"/>
  <c r="B21" i="7"/>
  <c r="C23" i="1"/>
  <c r="F23" i="1"/>
  <c r="J7" i="1"/>
  <c r="D21" i="1" s="1"/>
  <c r="D20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<sst xmlns="http://schemas.openxmlformats.org/spreadsheetml/2006/main" count="927" uniqueCount="468">
  <si>
    <t>Assigment-1</t>
  </si>
  <si>
    <t>50 Ms Excel Assignments</t>
  </si>
  <si>
    <t>Use of Formulas Sum, Average,If,Count,Counta,Countif and Sumif</t>
  </si>
  <si>
    <t>Roll No</t>
  </si>
  <si>
    <t>Student Name</t>
  </si>
  <si>
    <t>RAM</t>
  </si>
  <si>
    <t>ASHOK</t>
  </si>
  <si>
    <t>MANOJ</t>
  </si>
  <si>
    <t>RAJESH</t>
  </si>
  <si>
    <t>RANJANA</t>
  </si>
  <si>
    <t>POOJA</t>
  </si>
  <si>
    <t>MAHESH</t>
  </si>
  <si>
    <t>ASHUTOSH</t>
  </si>
  <si>
    <t>ANIL</t>
  </si>
  <si>
    <t>PREM</t>
  </si>
  <si>
    <t>Hindi</t>
  </si>
  <si>
    <t>English</t>
  </si>
  <si>
    <t>Math</t>
  </si>
  <si>
    <t>Physics</t>
  </si>
  <si>
    <t>Chemistry</t>
  </si>
  <si>
    <t>Total</t>
  </si>
  <si>
    <t>Q.1: Find the Total Number &amp; Average in all Subjects in Each Student.</t>
  </si>
  <si>
    <t xml:space="preserve">Average </t>
  </si>
  <si>
    <t>Q.2: Find Grade Using If Function- If Average Greater &gt; 15 then "A" Grade otherwise "B" Grade.</t>
  </si>
  <si>
    <t>Grade</t>
  </si>
  <si>
    <t>Q.3: How Many Student "A" and "B" Grade</t>
  </si>
  <si>
    <t xml:space="preserve">Ans: No of Students having "A" are </t>
  </si>
  <si>
    <t xml:space="preserve">         No of Students having "B" are </t>
  </si>
  <si>
    <t>Q.4: Student Ashok and Manoj Total Number and Average</t>
  </si>
  <si>
    <t>Ans: Total Number</t>
  </si>
  <si>
    <t>Avearage</t>
  </si>
  <si>
    <t>Q.5: Count how many students</t>
  </si>
  <si>
    <t>Ans: Total Students</t>
  </si>
  <si>
    <t>Q.6: How many student Hindi &amp; English Subject Number Greater then &gt;20 and &lt;15.</t>
  </si>
  <si>
    <t>Ans: No of Students having Hindi Subject Number Greater then &gt;20 are</t>
  </si>
  <si>
    <t xml:space="preserve">         No of Students having English Subject Number less then &lt;15 are</t>
  </si>
  <si>
    <t>No of Students having Hindi &amp; English Subject Number Greater then &gt;20 and &lt;15 are</t>
  </si>
  <si>
    <t>Assignment - 2</t>
  </si>
  <si>
    <t>Use of Formulas-Product,If,Counta,Countif,Sumif</t>
  </si>
  <si>
    <t>SRNO</t>
  </si>
  <si>
    <t>ITEMS</t>
  </si>
  <si>
    <t>AC</t>
  </si>
  <si>
    <t>FRIDGE</t>
  </si>
  <si>
    <t>COOLER</t>
  </si>
  <si>
    <t>WASHING MACHINE</t>
  </si>
  <si>
    <t>TV</t>
  </si>
  <si>
    <t>FAN</t>
  </si>
  <si>
    <t>COMPUTER</t>
  </si>
  <si>
    <t>KEYBOARD</t>
  </si>
  <si>
    <t>MOUSE</t>
  </si>
  <si>
    <t>PRINTER</t>
  </si>
  <si>
    <t>QTY</t>
  </si>
  <si>
    <t>RATE</t>
  </si>
  <si>
    <t>AMOUNT</t>
  </si>
  <si>
    <t>Q.1: Using of Product Formula for Calculate Amount=Qty*Rate</t>
  </si>
  <si>
    <t>Q.2: How many Items in a List</t>
  </si>
  <si>
    <t xml:space="preserve">Ans: </t>
  </si>
  <si>
    <t>Q.3: How many Items qty Greater then &gt;20 and Less then &lt;20</t>
  </si>
  <si>
    <t>Ans: No of items qty greater then &gt;20 are</t>
  </si>
  <si>
    <t xml:space="preserve">         No of items qty less then &lt;20 are</t>
  </si>
  <si>
    <t>Ans: Qty</t>
  </si>
  <si>
    <t xml:space="preserve">   Rate</t>
  </si>
  <si>
    <t xml:space="preserve">  Amount</t>
  </si>
  <si>
    <t>Q.4: Calculate item computer Qty,Rate and amount .</t>
  </si>
  <si>
    <t>Q.5: If items Amount is Greater&gt;500000, Then items "Expensive" otherwise "Lets Buy it".</t>
  </si>
  <si>
    <t>GRADE</t>
  </si>
  <si>
    <t>Use of Formulas- Sum,NestedIf,Counta,Countif,Sumif,Vlookup</t>
  </si>
  <si>
    <t>SUBJECT</t>
  </si>
  <si>
    <t>HINDI</t>
  </si>
  <si>
    <t>ENGLISH</t>
  </si>
  <si>
    <t>MATH</t>
  </si>
  <si>
    <t>PHYSICS</t>
  </si>
  <si>
    <t>CHEMISTRY</t>
  </si>
  <si>
    <t>HISTORY</t>
  </si>
  <si>
    <t>GEO</t>
  </si>
  <si>
    <t>BIO</t>
  </si>
  <si>
    <t>BOTANY</t>
  </si>
  <si>
    <t>1ST</t>
  </si>
  <si>
    <t>2ND</t>
  </si>
  <si>
    <t>3RD</t>
  </si>
  <si>
    <t>TOTAL</t>
  </si>
  <si>
    <t>Q.1: How many subject?</t>
  </si>
  <si>
    <t>Q.2: How many subject 1 paper greater then 20?</t>
  </si>
  <si>
    <t>AVERAGE</t>
  </si>
  <si>
    <t>Q.3: Subject Hindi,Math and English total no.  And Average</t>
  </si>
  <si>
    <t>Q.4: If Avg. Greater than 20 then "A",If Avg. Greater than 15 "B",otherwise "C"</t>
  </si>
  <si>
    <t>Q.5: Subject Physics,Maths and English Total/Average</t>
  </si>
  <si>
    <t>Use of Formulas - Sum, NestedIf, Counta, Countif, Sumif, Vlookup</t>
  </si>
  <si>
    <t>NAME</t>
  </si>
  <si>
    <t>SHYAM</t>
  </si>
  <si>
    <t>RAHUL</t>
  </si>
  <si>
    <t>RAKESH</t>
  </si>
  <si>
    <t>ASHISH</t>
  </si>
  <si>
    <t>MANISH</t>
  </si>
  <si>
    <t>DEPARTMENT</t>
  </si>
  <si>
    <t>ELECTRICAL</t>
  </si>
  <si>
    <t>FINANCE</t>
  </si>
  <si>
    <t>POST</t>
  </si>
  <si>
    <t>MANAGER</t>
  </si>
  <si>
    <t>SUPERVISOR</t>
  </si>
  <si>
    <t>PION</t>
  </si>
  <si>
    <t>GUARD</t>
  </si>
  <si>
    <t>CASHER</t>
  </si>
  <si>
    <t>ACCOUNTANT</t>
  </si>
  <si>
    <t>BASIC</t>
  </si>
  <si>
    <t>DA 2.5%</t>
  </si>
  <si>
    <t>Q.1:  HOW MANY EMPLOYEE IN COMPUTER, FINANCE, ELECTRICAL DEPARTMENT.</t>
  </si>
  <si>
    <t>Ans: COMPUTER</t>
  </si>
  <si>
    <t xml:space="preserve">   FINANCE</t>
  </si>
  <si>
    <t>Q.2: HOW MANY BASIC SALARY IN COMPUTER DEPARTMENT ONLY?</t>
  </si>
  <si>
    <t>Ans:</t>
  </si>
  <si>
    <t>Q.3: MANOJ , ASHISH POST &amp; GRADE</t>
  </si>
  <si>
    <t>HRA 3.5%</t>
  </si>
  <si>
    <t>PF 1.5%</t>
  </si>
  <si>
    <t>Ans:  MANOJ POST</t>
  </si>
  <si>
    <t xml:space="preserve">          MANOJ GRADE</t>
  </si>
  <si>
    <t>ASHISH POST</t>
  </si>
  <si>
    <t>ASHISH GRADE</t>
  </si>
  <si>
    <t>Q.4: IF TOTAL SALARY IS GREATER THEN 20000 THEN "A", IF TOTAL SALARY GREATER THEN 10000 THEN "B", OTHERWISE "C".</t>
  </si>
  <si>
    <t>Q.5: HOW MANY EMPLOYEE IS MANAGER &amp; GUARD?</t>
  </si>
  <si>
    <t>Ans: MANAGER:</t>
  </si>
  <si>
    <t xml:space="preserve">         GUARD:</t>
  </si>
  <si>
    <t>Use of Formulas-Sum,If, Counta,Countif,Sumif,Vlookup,Lookup</t>
  </si>
  <si>
    <t>SALESMAN</t>
  </si>
  <si>
    <t>RAMESH</t>
  </si>
  <si>
    <t>AJEET</t>
  </si>
  <si>
    <t>ALOK</t>
  </si>
  <si>
    <t>AMRIT</t>
  </si>
  <si>
    <t>SURENDRA</t>
  </si>
  <si>
    <t>SHASHI</t>
  </si>
  <si>
    <t>JAN</t>
  </si>
  <si>
    <t>FEB</t>
  </si>
  <si>
    <t>MAR</t>
  </si>
  <si>
    <t>APR</t>
  </si>
  <si>
    <t>MAY</t>
  </si>
  <si>
    <t>JUNE</t>
  </si>
  <si>
    <t>SALES</t>
  </si>
  <si>
    <t>TARGET</t>
  </si>
  <si>
    <t>RESULT</t>
  </si>
  <si>
    <t>Q.1: How many Salesman? Salesman Ajeet Target and Result?</t>
  </si>
  <si>
    <t>Ajeet Target</t>
  </si>
  <si>
    <t>Ajeet Result</t>
  </si>
  <si>
    <t>Q.2: If Sales Greater Than Target then Target Achived otherwise Not Achived.</t>
  </si>
  <si>
    <t>Q.3: Rahul,Pooja and Ashok Target &amp; result?</t>
  </si>
  <si>
    <t>Rahul</t>
  </si>
  <si>
    <t>Target</t>
  </si>
  <si>
    <t>Result</t>
  </si>
  <si>
    <t>Pooja</t>
  </si>
  <si>
    <t>Ashok</t>
  </si>
  <si>
    <t>Q.4: How many Salesman Achived Target.</t>
  </si>
  <si>
    <t>Q.5: Which Sales Man Jan Sales 2000 &amp; Feb Sales is 2500?</t>
  </si>
  <si>
    <t xml:space="preserve">(Try to help me to solve question 5) </t>
  </si>
  <si>
    <t>Use of Formulas- Counta,Countif,Sumif,Hlookup,Conditional Formatting</t>
  </si>
  <si>
    <t>Items</t>
  </si>
  <si>
    <t>BREAKS</t>
  </si>
  <si>
    <t>TYRES</t>
  </si>
  <si>
    <t>SERVICE</t>
  </si>
  <si>
    <t>WINDOW</t>
  </si>
  <si>
    <t>CLUTCH</t>
  </si>
  <si>
    <t>Date</t>
  </si>
  <si>
    <t>Cost</t>
  </si>
  <si>
    <t>Q.1: HOW MANY ITEMS?</t>
  </si>
  <si>
    <t>Q.2: HOW MANY BREAK,WINDOW AND TYRES HAVE BEEN BOUGHTS?</t>
  </si>
  <si>
    <t>BREAK</t>
  </si>
  <si>
    <t>Q.3: HOW MANY ITEMS COST IS &gt;1000 &amp; BELOW&lt;=1000?</t>
  </si>
  <si>
    <t>Items cost&gt;1000</t>
  </si>
  <si>
    <t>Items cost &lt;=1000</t>
  </si>
  <si>
    <t>Q.4: HIGHLIGHT TYRES ITEMS &amp; 500 BETWEEN 2000 COST.</t>
  </si>
  <si>
    <t>1st_Check</t>
  </si>
  <si>
    <t>2nd_Check</t>
  </si>
  <si>
    <t>3rd_Check</t>
  </si>
  <si>
    <t>4th_Check</t>
  </si>
  <si>
    <t>Final</t>
  </si>
  <si>
    <t>Q.5: ITEMS COLUMNS IS 15, 18 &amp; 20 ITEMS NAME?</t>
  </si>
  <si>
    <t>Items columns is 15</t>
  </si>
  <si>
    <t>Items columns is 18</t>
  </si>
  <si>
    <t>Items columns is 20</t>
  </si>
  <si>
    <t>Q.6: Total Cost of Window and Breaks Items?</t>
  </si>
  <si>
    <t>Total Cost of Window</t>
  </si>
  <si>
    <t>Total Cost of Breaks</t>
  </si>
  <si>
    <t>Use of Formulas- Counta, Countif, Sumif, If &amp; Dateif</t>
  </si>
  <si>
    <t>DATE OF BIRTH</t>
  </si>
  <si>
    <t>DAY</t>
  </si>
  <si>
    <t>MONTH</t>
  </si>
  <si>
    <t>YEAR</t>
  </si>
  <si>
    <t>Q.1: HOW MANY STUDENT?</t>
  </si>
  <si>
    <t>Q.2: STUDENT SURENDRA IS HOW MANY YEAR OLD?</t>
  </si>
  <si>
    <t>Q.3: HOW MANY STUDENT AGE GREATER THEN 20 YEARS?</t>
  </si>
  <si>
    <t>AGE</t>
  </si>
  <si>
    <t>Q.4: IF STUDENT AGE IS GREATER THEN 20 THEN STUDENT ADULT/CHILD?</t>
  </si>
  <si>
    <t>Q.5: HOW MANY STUDENT AGE IS &gt;=25 YEARS?</t>
  </si>
  <si>
    <t>ADULT/CHILD</t>
  </si>
  <si>
    <t>Use of Formuals-Sum, Average, Counta , Countif, Sumif &amp; If</t>
  </si>
  <si>
    <t>Student_Name</t>
  </si>
  <si>
    <t>Name</t>
  </si>
  <si>
    <t>Alan</t>
  </si>
  <si>
    <t>Bob</t>
  </si>
  <si>
    <t>Carol</t>
  </si>
  <si>
    <t>David</t>
  </si>
  <si>
    <t>Eric</t>
  </si>
  <si>
    <t>Fred</t>
  </si>
  <si>
    <t>Gail</t>
  </si>
  <si>
    <t>Harry</t>
  </si>
  <si>
    <t>Ian</t>
  </si>
  <si>
    <t>Janice</t>
  </si>
  <si>
    <t>Subject</t>
  </si>
  <si>
    <t>Maths</t>
  </si>
  <si>
    <t>oor</t>
  </si>
  <si>
    <t>Absent</t>
  </si>
  <si>
    <t>Percentage</t>
  </si>
  <si>
    <t>Q.1: How many students?</t>
  </si>
  <si>
    <t>Q.2: How many student percentage greater then&gt;50?</t>
  </si>
  <si>
    <t>Q.3: Student Bob and Eric Total Number?</t>
  </si>
  <si>
    <t>Bob_Total=</t>
  </si>
  <si>
    <t>Eric_Total=</t>
  </si>
  <si>
    <t>Q.4: If Percentage greater then&gt;70 then "Excellent", If Percentage greater then &gt;50,"Good", otherwise "Bed".</t>
  </si>
  <si>
    <t>Q.5: How many students good and bed in a list.</t>
  </si>
  <si>
    <t>Good_Students=</t>
  </si>
  <si>
    <t>Bed_Students=</t>
  </si>
  <si>
    <t xml:space="preserve">Use of Formulas - LOOKUP </t>
  </si>
  <si>
    <t>Employee ID</t>
  </si>
  <si>
    <t>Last Name</t>
  </si>
  <si>
    <t>Doe</t>
  </si>
  <si>
    <t>Cline</t>
  </si>
  <si>
    <t>Smith</t>
  </si>
  <si>
    <t>Pan</t>
  </si>
  <si>
    <t>Favre</t>
  </si>
  <si>
    <t>Elway</t>
  </si>
  <si>
    <t>Manning</t>
  </si>
  <si>
    <t>Vick</t>
  </si>
  <si>
    <t>Woods</t>
  </si>
  <si>
    <t>Jordan</t>
  </si>
  <si>
    <t>Stark</t>
  </si>
  <si>
    <t>Williams</t>
  </si>
  <si>
    <t>First Name</t>
  </si>
  <si>
    <t>John</t>
  </si>
  <si>
    <t>Andy</t>
  </si>
  <si>
    <t>Peter</t>
  </si>
  <si>
    <t>Bret</t>
  </si>
  <si>
    <t>Eli</t>
  </si>
  <si>
    <t>Micheal</t>
  </si>
  <si>
    <t>Tiger</t>
  </si>
  <si>
    <t>Tony</t>
  </si>
  <si>
    <t>Prience</t>
  </si>
  <si>
    <t>Pitt</t>
  </si>
  <si>
    <t>Brad</t>
  </si>
  <si>
    <t>Pay</t>
  </si>
  <si>
    <t>$84,289</t>
  </si>
  <si>
    <t>$137679</t>
  </si>
  <si>
    <t>$190024</t>
  </si>
  <si>
    <t>$122604</t>
  </si>
  <si>
    <t>$111709</t>
  </si>
  <si>
    <t>$85931</t>
  </si>
  <si>
    <t>$168114</t>
  </si>
  <si>
    <t>$89627</t>
  </si>
  <si>
    <t>$149946</t>
  </si>
  <si>
    <t>$145893</t>
  </si>
  <si>
    <t>$64757</t>
  </si>
  <si>
    <t>$71478</t>
  </si>
  <si>
    <t>$121444</t>
  </si>
  <si>
    <t>First N.</t>
  </si>
  <si>
    <t>Last N.</t>
  </si>
  <si>
    <t>Use of Formulas - Counta, Countif, Sumif, &amp; Vlookup</t>
  </si>
  <si>
    <t>EMP001</t>
  </si>
  <si>
    <t>EMP002</t>
  </si>
  <si>
    <t>EMP003</t>
  </si>
  <si>
    <t>EMP004</t>
  </si>
  <si>
    <t>EMP005</t>
  </si>
  <si>
    <t>EMP006</t>
  </si>
  <si>
    <t>EMP007</t>
  </si>
  <si>
    <t>EMP008</t>
  </si>
  <si>
    <t>EMP009</t>
  </si>
  <si>
    <t>EMP010</t>
  </si>
  <si>
    <t>EMP011</t>
  </si>
  <si>
    <t>EMP012</t>
  </si>
  <si>
    <t>EMP013</t>
  </si>
  <si>
    <t>EMP014</t>
  </si>
  <si>
    <t>Full Name</t>
  </si>
  <si>
    <t>Faith K. Macias</t>
  </si>
  <si>
    <t>Lucian Q. Franklin</t>
  </si>
  <si>
    <t>Blaze V. Bridges</t>
  </si>
  <si>
    <t>Denton Q. Dale</t>
  </si>
  <si>
    <t>Blossom K. Fox</t>
  </si>
  <si>
    <t>Kerry V. David</t>
  </si>
  <si>
    <t>Melanie X. Baker</t>
  </si>
  <si>
    <t>Adele M. Fulton</t>
  </si>
  <si>
    <t>Justina O. Jensen</t>
  </si>
  <si>
    <t>Yoshi J. England</t>
  </si>
  <si>
    <t>Brooke Y. Mccarty</t>
  </si>
  <si>
    <t>Kay G. Colon</t>
  </si>
  <si>
    <t>Callie I. Forbes</t>
  </si>
  <si>
    <t>Zachery O. Mann</t>
  </si>
  <si>
    <t>SSN</t>
  </si>
  <si>
    <t>845-04-3962</t>
  </si>
  <si>
    <t>345-28-4935</t>
  </si>
  <si>
    <t>503-53-8350</t>
  </si>
  <si>
    <t>858-39-7967</t>
  </si>
  <si>
    <t>245-18-5890</t>
  </si>
  <si>
    <t>873-45-8675</t>
  </si>
  <si>
    <t>190-08-3679</t>
  </si>
  <si>
    <t>352-36-9553</t>
  </si>
  <si>
    <t>645-74-0451</t>
  </si>
  <si>
    <t>558-53-1475</t>
  </si>
  <si>
    <t>129-42-6148</t>
  </si>
  <si>
    <t>796-50-4767</t>
  </si>
  <si>
    <t>266-48-1339</t>
  </si>
  <si>
    <t>663-00-3285</t>
  </si>
  <si>
    <t>Department</t>
  </si>
  <si>
    <t>Marketing</t>
  </si>
  <si>
    <t>IT/IS</t>
  </si>
  <si>
    <t>Engineering</t>
  </si>
  <si>
    <t>Finance</t>
  </si>
  <si>
    <t>Human Resources</t>
  </si>
  <si>
    <t>Start Date</t>
  </si>
  <si>
    <t>Earnings</t>
  </si>
  <si>
    <t>Q.1: How many Employee in a list?</t>
  </si>
  <si>
    <t>Q.2: How many Employee work in Finance and Marketing Department?</t>
  </si>
  <si>
    <t xml:space="preserve">Ans:  </t>
  </si>
  <si>
    <t>Q.3: Employee Blossom K. Fox Department and Earnings?</t>
  </si>
  <si>
    <t>Q.4: Employee Blossom K. SSN No.?</t>
  </si>
  <si>
    <t>Q.5: How many Amount Earnings Marketing Department?</t>
  </si>
  <si>
    <t>Use of Formulas- Match and Vlookup With Match</t>
  </si>
  <si>
    <t>CLASSIC FAVORITES</t>
  </si>
  <si>
    <t>Caffe Latte</t>
  </si>
  <si>
    <t>Cappuccino</t>
  </si>
  <si>
    <t>Caramel Macchiato</t>
  </si>
  <si>
    <t>Caffe Mocha</t>
  </si>
  <si>
    <t>White Chocolate Mocha</t>
  </si>
  <si>
    <t>Caffe Americano</t>
  </si>
  <si>
    <t>Cinnamon Doice Latte</t>
  </si>
  <si>
    <t>Steamer</t>
  </si>
  <si>
    <t>Drip Coffee</t>
  </si>
  <si>
    <t>TALL</t>
  </si>
  <si>
    <t>GRANDE</t>
  </si>
  <si>
    <t>VENTI</t>
  </si>
  <si>
    <t>Q.1: What is the column for the size Grande, Tall , Venti?</t>
  </si>
  <si>
    <t>Grande</t>
  </si>
  <si>
    <t>Tall</t>
  </si>
  <si>
    <t>Venti</t>
  </si>
  <si>
    <t>Q.2: What is the price of a Caffe Morcha, Size Grade, Tall, Venti?</t>
  </si>
  <si>
    <t>Use of Formulas- Counta and Vlookup</t>
  </si>
  <si>
    <t>Product Name</t>
  </si>
  <si>
    <t>Apples</t>
  </si>
  <si>
    <t>Grapefruit</t>
  </si>
  <si>
    <t>Lemons</t>
  </si>
  <si>
    <t>Lime</t>
  </si>
  <si>
    <t>Oranges</t>
  </si>
  <si>
    <t>Peaches</t>
  </si>
  <si>
    <t>Pears</t>
  </si>
  <si>
    <t>Pineapples</t>
  </si>
  <si>
    <t>Jan</t>
  </si>
  <si>
    <t>Feb</t>
  </si>
  <si>
    <t>Mar</t>
  </si>
  <si>
    <t>Apr</t>
  </si>
  <si>
    <t>May</t>
  </si>
  <si>
    <t>Jun</t>
  </si>
  <si>
    <t>Jul</t>
  </si>
  <si>
    <t>Aug</t>
  </si>
  <si>
    <t>Total Sales</t>
  </si>
  <si>
    <t>Q.1: How many Fruits?</t>
  </si>
  <si>
    <t>Q.2: Fruits Lemons and Pineapples sales in Mar and Jul?</t>
  </si>
  <si>
    <t>Create Pivot Table Using Date</t>
  </si>
  <si>
    <t>Johnson</t>
  </si>
  <si>
    <t>Jones</t>
  </si>
  <si>
    <t>Brown</t>
  </si>
  <si>
    <t>Sales</t>
  </si>
  <si>
    <t>Country</t>
  </si>
  <si>
    <t>UK</t>
  </si>
  <si>
    <t>USA</t>
  </si>
  <si>
    <t>Quarter</t>
  </si>
  <si>
    <t>Qtr 3</t>
  </si>
  <si>
    <t>Qtr 4</t>
  </si>
  <si>
    <t>Qtr 2</t>
  </si>
  <si>
    <t>Qtr 1</t>
  </si>
  <si>
    <t>Row Labels</t>
  </si>
  <si>
    <t>Grand Total</t>
  </si>
  <si>
    <t>Sum of Sales</t>
  </si>
  <si>
    <t>Use of Formulas - Countif, Countifs and Sumifs</t>
  </si>
  <si>
    <t>Season</t>
  </si>
  <si>
    <t>Fall</t>
  </si>
  <si>
    <t>Spring</t>
  </si>
  <si>
    <t>Year</t>
  </si>
  <si>
    <t>Type</t>
  </si>
  <si>
    <t>Amber Ale</t>
  </si>
  <si>
    <t>Hefeweizen</t>
  </si>
  <si>
    <t>Pale Ale</t>
  </si>
  <si>
    <t>Pilsen</t>
  </si>
  <si>
    <t>Porter</t>
  </si>
  <si>
    <t>Stout</t>
  </si>
  <si>
    <t>State</t>
  </si>
  <si>
    <t>California</t>
  </si>
  <si>
    <t>Oregon</t>
  </si>
  <si>
    <t>Washington</t>
  </si>
  <si>
    <t>Sales S</t>
  </si>
  <si>
    <t>Q.1: How many spring and Fall Season?</t>
  </si>
  <si>
    <t>Q.2: How many Fall Season in California and Washington?</t>
  </si>
  <si>
    <t xml:space="preserve">Ans </t>
  </si>
  <si>
    <t>Fall Season in California</t>
  </si>
  <si>
    <t>Fall Season in Washington</t>
  </si>
  <si>
    <t>Q.3: Total Sales if Spring Season in Washington and California?</t>
  </si>
  <si>
    <t>Total Sales if Spring Season in Washington</t>
  </si>
  <si>
    <t>Total Sales if Spring Season in California</t>
  </si>
  <si>
    <t>Q.4: How many Spring Season in Washington only?</t>
  </si>
  <si>
    <t>Q.5: Create Pivot Table Using Data?</t>
  </si>
  <si>
    <t>Sum of Sales S</t>
  </si>
  <si>
    <t>Create Pivot Table Using Data Separate Fruit and Vegetables</t>
  </si>
  <si>
    <t>Order ID</t>
  </si>
  <si>
    <t>Product</t>
  </si>
  <si>
    <t>Carrots</t>
  </si>
  <si>
    <t>Broccoli</t>
  </si>
  <si>
    <t>Banana</t>
  </si>
  <si>
    <t>Beans</t>
  </si>
  <si>
    <t>Orange</t>
  </si>
  <si>
    <t>Apple</t>
  </si>
  <si>
    <t>Mango</t>
  </si>
  <si>
    <t>Amount</t>
  </si>
  <si>
    <t>United States</t>
  </si>
  <si>
    <t>United Kingdom</t>
  </si>
  <si>
    <t>Canada</t>
  </si>
  <si>
    <t>Germary</t>
  </si>
  <si>
    <t>Australia</t>
  </si>
  <si>
    <t>New Zealand</t>
  </si>
  <si>
    <t>France</t>
  </si>
  <si>
    <t>Category</t>
  </si>
  <si>
    <t>Vegetables</t>
  </si>
  <si>
    <t>Fruit</t>
  </si>
  <si>
    <t>Q.1: How many Fruits and Vegetables Items in a List?</t>
  </si>
  <si>
    <t>Count of Category</t>
  </si>
  <si>
    <t>Q.2: Total Apples and Banana Amount?</t>
  </si>
  <si>
    <t>Sum of Amount</t>
  </si>
  <si>
    <t>Q.3: How Many Product in a List?</t>
  </si>
  <si>
    <t>Count of Product</t>
  </si>
  <si>
    <t>Q.4: How many Apple and Banana Use in  Canada &amp; United Kingdom?</t>
  </si>
  <si>
    <t>Q.5: Apple and Banana Sales in United States?</t>
  </si>
  <si>
    <t>Use of Formulas - Countif, Countifs and Sumifs and Vlookup</t>
  </si>
  <si>
    <t>Richard</t>
  </si>
  <si>
    <t>Jennifer</t>
  </si>
  <si>
    <t>James</t>
  </si>
  <si>
    <t>Lisa</t>
  </si>
  <si>
    <t>Sharon</t>
  </si>
  <si>
    <t>Elizabeth</t>
  </si>
  <si>
    <t>Mark</t>
  </si>
  <si>
    <t>Susan</t>
  </si>
  <si>
    <t>Gender</t>
  </si>
  <si>
    <t>Male</t>
  </si>
  <si>
    <t>Female</t>
  </si>
  <si>
    <t>Score</t>
  </si>
  <si>
    <t>Q.1: How many Male and Female Candidate in a list?</t>
  </si>
  <si>
    <t>Q.2: How many Male Employee in United States?</t>
  </si>
  <si>
    <t>Q.3: Lisa and John which country belong?</t>
  </si>
  <si>
    <t>Q.4: United States male and female candidate scores?</t>
  </si>
  <si>
    <t>Q.5: How many male candidate belong country united state total score?</t>
  </si>
  <si>
    <t>Use of Formulas- Vlookup</t>
  </si>
  <si>
    <t>ID</t>
  </si>
  <si>
    <t>Brand</t>
  </si>
  <si>
    <t>Dell</t>
  </si>
  <si>
    <t>Logitech</t>
  </si>
  <si>
    <t>HP</t>
  </si>
  <si>
    <t>Computer</t>
  </si>
  <si>
    <t>Keyboard</t>
  </si>
  <si>
    <t>Mouse</t>
  </si>
  <si>
    <t>Printer</t>
  </si>
  <si>
    <t>Use of Vlookup Function</t>
  </si>
  <si>
    <t>Use of Formulas-Hlookup</t>
  </si>
  <si>
    <t>keyboard</t>
  </si>
  <si>
    <t>Use of Hlookup</t>
  </si>
  <si>
    <t xml:space="preserve">ID </t>
  </si>
  <si>
    <t>Prduct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</si>
</sst>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[Red]#,##0"/>
    <numFmt numFmtId="165" formatCode="[$$-409]#,##0.00_ ;\-[$$-409]#,##0.00\ "/>
    <numFmt numFmtId="166" formatCode="[$$-409]#,##0.00"/>
    <numFmt numFmtId="167" formatCode="[$$-409]#,##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0" fillId="0" borderId="2" xfId="0" applyBorder="1"/>
    <xf numFmtId="1" fontId="0" fillId="0" borderId="0" xfId="0" applyNumberFormat="1"/>
    <xf numFmtId="1" fontId="0" fillId="0" borderId="1" xfId="0" applyNumberFormat="1" applyBorder="1"/>
    <xf numFmtId="9" fontId="0" fillId="0" borderId="1" xfId="1" applyFont="1" applyBorder="1"/>
    <xf numFmtId="164" fontId="0" fillId="0" borderId="0" xfId="0" applyNumberFormat="1"/>
    <xf numFmtId="2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6" fontId="0" fillId="0" borderId="1" xfId="0" applyNumberFormat="1" applyBorder="1"/>
    <xf numFmtId="0" fontId="0" fillId="0" borderId="0" xfId="0" pivotButton="1"/>
    <xf numFmtId="0" fontId="0" fillId="0" borderId="0" xfId="0" applyAlignment="1">
      <alignment horizontal="left"/>
    </xf>
    <xf numFmtId="167" fontId="0" fillId="0" borderId="1" xfId="0" applyNumberFormat="1" applyBorder="1"/>
    <xf numFmtId="0" fontId="0" fillId="0" borderId="0" xfId="0" applyAlignment="1">
      <alignment horizontal="left" inden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Normal" xfId="0" builtinId="0"/>
    <cellStyle name="Percent" xfId="1" builtinId="5"/>
  </cellStyles>
  <dxfs count="1"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vindra Pal" refreshedDate="46222.907558796294" createdVersion="8" refreshedVersion="8" minRefreshableVersion="3" recordCount="14" xr:uid="{BADB688A-F744-41BB-82A1-3AFE39BE7142}">
  <cacheSource type="worksheet">
    <worksheetSource ref="A3:D17" sheet="Assignment-13"/>
  </cacheSource>
  <cacheFields count="4">
    <cacheField name="Last Name" numFmtId="0">
      <sharedItems count="5">
        <s v="Smith"/>
        <s v="Johnson"/>
        <s v="Williams"/>
        <s v="Jones"/>
        <s v="Brown"/>
      </sharedItems>
    </cacheField>
    <cacheField name="Sales" numFmtId="166">
      <sharedItems containsSemiMixedTypes="0" containsString="0" containsNumber="1" containsInteger="1" minValue="1390" maxValue="19302"/>
    </cacheField>
    <cacheField name="Country" numFmtId="0">
      <sharedItems count="2">
        <s v="UK"/>
        <s v="USA"/>
      </sharedItems>
    </cacheField>
    <cacheField name="Quarter" numFmtId="0">
      <sharedItems count="4">
        <s v="Qtr 3"/>
        <s v="Qtr 4"/>
        <s v="Qtr 2"/>
        <s v="Qtr 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vindra Pal" refreshedDate="46223.902664351852" createdVersion="8" refreshedVersion="8" minRefreshableVersion="3" recordCount="36" xr:uid="{A258968F-1A7E-4FB5-971C-12FAC8FAFE87}">
  <cacheSource type="worksheet">
    <worksheetSource ref="A3:E39" sheet="Assignment-14"/>
  </cacheSource>
  <cacheFields count="5">
    <cacheField name="Season" numFmtId="0">
      <sharedItems count="2">
        <s v="Fall"/>
        <s v="Spring"/>
      </sharedItems>
    </cacheField>
    <cacheField name="Year" numFmtId="0">
      <sharedItems containsSemiMixedTypes="0" containsString="0" containsNumber="1" containsInteger="1" minValue="1998" maxValue="1998"/>
    </cacheField>
    <cacheField name="Type" numFmtId="0">
      <sharedItems count="6">
        <s v="Amber Ale"/>
        <s v="Hefeweizen"/>
        <s v="Pale Ale"/>
        <s v="Pilsen"/>
        <s v="Porter"/>
        <s v="Stout"/>
      </sharedItems>
    </cacheField>
    <cacheField name="State" numFmtId="0">
      <sharedItems count="3">
        <s v="California"/>
        <s v="Oregon"/>
        <s v="Washington"/>
      </sharedItems>
    </cacheField>
    <cacheField name="Sales S" numFmtId="167">
      <sharedItems containsSemiMixedTypes="0" containsString="0" containsNumber="1" containsInteger="1" minValue="150000" maxValue="60871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vindra Pal" refreshedDate="46223.932492361113" createdVersion="8" refreshedVersion="8" minRefreshableVersion="3" recordCount="30" xr:uid="{C559349C-7923-4A6F-B0C9-96634D2B12A0}">
  <cacheSource type="worksheet">
    <worksheetSource ref="A3:F33" sheet="Assignment-15"/>
  </cacheSource>
  <cacheFields count="6">
    <cacheField name="Order ID" numFmtId="0">
      <sharedItems containsSemiMixedTypes="0" containsString="0" containsNumber="1" containsInteger="1" minValue="1" maxValue="30"/>
    </cacheField>
    <cacheField name="Product" numFmtId="0">
      <sharedItems count="7">
        <s v="Carrots"/>
        <s v="Broccoli"/>
        <s v="Banana"/>
        <s v="Beans"/>
        <s v="Orange"/>
        <s v="Apple"/>
        <s v="Mango"/>
      </sharedItems>
    </cacheField>
    <cacheField name="Category" numFmtId="0">
      <sharedItems count="2">
        <s v="Vegetables"/>
        <s v="Fruit"/>
      </sharedItems>
    </cacheField>
    <cacheField name="Amount" numFmtId="167">
      <sharedItems containsSemiMixedTypes="0" containsString="0" containsNumber="1" containsInteger="1" minValue="617" maxValue="9062"/>
    </cacheField>
    <cacheField name="Date" numFmtId="14">
      <sharedItems containsSemiMixedTypes="0" containsNonDate="0" containsDate="1" containsString="0" minDate="2016-01-06T00:00:00" maxDate="2016-02-22T00:00:00"/>
    </cacheField>
    <cacheField name="Country" numFmtId="0">
      <sharedItems count="7">
        <s v="United States"/>
        <s v="United Kingdom"/>
        <s v="Canada"/>
        <s v="Germary"/>
        <s v="Australia"/>
        <s v="New Zealand"/>
        <s v="Franc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">
  <r>
    <x v="0"/>
    <n v="16753"/>
    <x v="0"/>
    <x v="0"/>
  </r>
  <r>
    <x v="1"/>
    <n v="14808"/>
    <x v="1"/>
    <x v="1"/>
  </r>
  <r>
    <x v="2"/>
    <n v="10644"/>
    <x v="0"/>
    <x v="2"/>
  </r>
  <r>
    <x v="3"/>
    <n v="1390"/>
    <x v="1"/>
    <x v="0"/>
  </r>
  <r>
    <x v="4"/>
    <n v="4865"/>
    <x v="1"/>
    <x v="1"/>
  </r>
  <r>
    <x v="2"/>
    <n v="12438"/>
    <x v="0"/>
    <x v="3"/>
  </r>
  <r>
    <x v="1"/>
    <n v="9339"/>
    <x v="0"/>
    <x v="2"/>
  </r>
  <r>
    <x v="0"/>
    <n v="18919"/>
    <x v="1"/>
    <x v="0"/>
  </r>
  <r>
    <x v="3"/>
    <n v="9213"/>
    <x v="1"/>
    <x v="1"/>
  </r>
  <r>
    <x v="3"/>
    <n v="7433"/>
    <x v="0"/>
    <x v="3"/>
  </r>
  <r>
    <x v="4"/>
    <n v="3255"/>
    <x v="1"/>
    <x v="2"/>
  </r>
  <r>
    <x v="2"/>
    <n v="14867"/>
    <x v="1"/>
    <x v="0"/>
  </r>
  <r>
    <x v="2"/>
    <n v="19302"/>
    <x v="0"/>
    <x v="1"/>
  </r>
  <r>
    <x v="0"/>
    <n v="9698"/>
    <x v="1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n v="1998"/>
    <x v="0"/>
    <x v="0"/>
    <n v="554536"/>
  </r>
  <r>
    <x v="0"/>
    <n v="1998"/>
    <x v="1"/>
    <x v="0"/>
    <n v="540643"/>
  </r>
  <r>
    <x v="0"/>
    <n v="1998"/>
    <x v="2"/>
    <x v="0"/>
    <n v="577548"/>
  </r>
  <r>
    <x v="0"/>
    <n v="1998"/>
    <x v="3"/>
    <x v="0"/>
    <n v="455905"/>
  </r>
  <r>
    <x v="0"/>
    <n v="1998"/>
    <x v="4"/>
    <x v="0"/>
    <n v="490871"/>
  </r>
  <r>
    <x v="0"/>
    <n v="1998"/>
    <x v="5"/>
    <x v="0"/>
    <n v="446383"/>
  </r>
  <r>
    <x v="0"/>
    <n v="1998"/>
    <x v="0"/>
    <x v="1"/>
    <n v="457726"/>
  </r>
  <r>
    <x v="0"/>
    <n v="1998"/>
    <x v="1"/>
    <x v="1"/>
    <n v="347696"/>
  </r>
  <r>
    <x v="0"/>
    <n v="1998"/>
    <x v="2"/>
    <x v="1"/>
    <n v="384541"/>
  </r>
  <r>
    <x v="0"/>
    <n v="1998"/>
    <x v="3"/>
    <x v="1"/>
    <n v="386420"/>
  </r>
  <r>
    <x v="0"/>
    <n v="1998"/>
    <x v="4"/>
    <x v="1"/>
    <n v="370970"/>
  </r>
  <r>
    <x v="0"/>
    <n v="1998"/>
    <x v="5"/>
    <x v="1"/>
    <n v="430754"/>
  </r>
  <r>
    <x v="0"/>
    <n v="1998"/>
    <x v="0"/>
    <x v="2"/>
    <n v="500847"/>
  </r>
  <r>
    <x v="0"/>
    <n v="1998"/>
    <x v="1"/>
    <x v="2"/>
    <n v="507070"/>
  </r>
  <r>
    <x v="0"/>
    <n v="1998"/>
    <x v="2"/>
    <x v="2"/>
    <n v="482346"/>
  </r>
  <r>
    <x v="0"/>
    <n v="1998"/>
    <x v="3"/>
    <x v="2"/>
    <n v="608713"/>
  </r>
  <r>
    <x v="0"/>
    <n v="1998"/>
    <x v="4"/>
    <x v="2"/>
    <n v="150000"/>
  </r>
  <r>
    <x v="0"/>
    <n v="1998"/>
    <x v="5"/>
    <x v="2"/>
    <n v="500649"/>
  </r>
  <r>
    <x v="1"/>
    <n v="1998"/>
    <x v="0"/>
    <x v="0"/>
    <n v="545780"/>
  </r>
  <r>
    <x v="1"/>
    <n v="1998"/>
    <x v="1"/>
    <x v="0"/>
    <n v="440644"/>
  </r>
  <r>
    <x v="1"/>
    <n v="1998"/>
    <x v="2"/>
    <x v="0"/>
    <n v="580359"/>
  </r>
  <r>
    <x v="1"/>
    <n v="1998"/>
    <x v="3"/>
    <x v="0"/>
    <n v="536225"/>
  </r>
  <r>
    <x v="1"/>
    <n v="1998"/>
    <x v="4"/>
    <x v="0"/>
    <n v="414908"/>
  </r>
  <r>
    <x v="1"/>
    <n v="1998"/>
    <x v="5"/>
    <x v="0"/>
    <n v="377997"/>
  </r>
  <r>
    <x v="1"/>
    <n v="1998"/>
    <x v="0"/>
    <x v="1"/>
    <n v="331289"/>
  </r>
  <r>
    <x v="1"/>
    <n v="1998"/>
    <x v="1"/>
    <x v="1"/>
    <n v="384572"/>
  </r>
  <r>
    <x v="1"/>
    <n v="1998"/>
    <x v="2"/>
    <x v="1"/>
    <n v="365813"/>
  </r>
  <r>
    <x v="1"/>
    <n v="1998"/>
    <x v="3"/>
    <x v="1"/>
    <n v="396338"/>
  </r>
  <r>
    <x v="1"/>
    <n v="1998"/>
    <x v="4"/>
    <x v="1"/>
    <n v="453761"/>
  </r>
  <r>
    <x v="1"/>
    <n v="1998"/>
    <x v="5"/>
    <x v="1"/>
    <n v="356538"/>
  </r>
  <r>
    <x v="1"/>
    <n v="1998"/>
    <x v="0"/>
    <x v="2"/>
    <n v="606332"/>
  </r>
  <r>
    <x v="1"/>
    <n v="1998"/>
    <x v="1"/>
    <x v="2"/>
    <n v="535218"/>
  </r>
  <r>
    <x v="1"/>
    <n v="1998"/>
    <x v="2"/>
    <x v="2"/>
    <n v="493364"/>
  </r>
  <r>
    <x v="1"/>
    <n v="1998"/>
    <x v="3"/>
    <x v="2"/>
    <n v="559100"/>
  </r>
  <r>
    <x v="1"/>
    <n v="1998"/>
    <x v="4"/>
    <x v="2"/>
    <n v="220350"/>
  </r>
  <r>
    <x v="1"/>
    <n v="1998"/>
    <x v="5"/>
    <x v="2"/>
    <n v="47697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n v="1"/>
    <x v="0"/>
    <x v="0"/>
    <n v="4270"/>
    <d v="2016-01-06T00:00:00"/>
    <x v="0"/>
  </r>
  <r>
    <n v="2"/>
    <x v="1"/>
    <x v="0"/>
    <n v="8239"/>
    <d v="2016-01-07T00:00:00"/>
    <x v="1"/>
  </r>
  <r>
    <n v="3"/>
    <x v="2"/>
    <x v="1"/>
    <n v="617"/>
    <d v="2016-01-08T00:00:00"/>
    <x v="0"/>
  </r>
  <r>
    <n v="4"/>
    <x v="2"/>
    <x v="1"/>
    <n v="8384"/>
    <d v="2016-01-10T00:00:00"/>
    <x v="2"/>
  </r>
  <r>
    <n v="5"/>
    <x v="3"/>
    <x v="0"/>
    <n v="2626"/>
    <d v="2016-01-10T00:00:00"/>
    <x v="3"/>
  </r>
  <r>
    <n v="6"/>
    <x v="4"/>
    <x v="1"/>
    <n v="3610"/>
    <d v="2016-01-11T00:00:00"/>
    <x v="0"/>
  </r>
  <r>
    <n v="7"/>
    <x v="1"/>
    <x v="0"/>
    <n v="9062"/>
    <d v="2016-01-11T00:00:00"/>
    <x v="4"/>
  </r>
  <r>
    <n v="8"/>
    <x v="2"/>
    <x v="1"/>
    <n v="6906"/>
    <d v="2016-01-16T00:00:00"/>
    <x v="5"/>
  </r>
  <r>
    <n v="9"/>
    <x v="5"/>
    <x v="1"/>
    <n v="2417"/>
    <d v="2016-01-16T00:00:00"/>
    <x v="6"/>
  </r>
  <r>
    <n v="10"/>
    <x v="5"/>
    <x v="1"/>
    <n v="7431"/>
    <d v="2016-01-16T00:00:00"/>
    <x v="2"/>
  </r>
  <r>
    <n v="11"/>
    <x v="2"/>
    <x v="1"/>
    <n v="8250"/>
    <d v="2016-01-16T00:00:00"/>
    <x v="3"/>
  </r>
  <r>
    <n v="12"/>
    <x v="1"/>
    <x v="0"/>
    <n v="7012"/>
    <d v="2016-01-18T00:00:00"/>
    <x v="0"/>
  </r>
  <r>
    <n v="13"/>
    <x v="0"/>
    <x v="0"/>
    <n v="1903"/>
    <d v="2016-01-20T00:00:00"/>
    <x v="3"/>
  </r>
  <r>
    <n v="14"/>
    <x v="1"/>
    <x v="0"/>
    <n v="2824"/>
    <d v="2016-01-22T00:00:00"/>
    <x v="2"/>
  </r>
  <r>
    <n v="15"/>
    <x v="5"/>
    <x v="1"/>
    <n v="6946"/>
    <d v="2016-01-24T00:00:00"/>
    <x v="6"/>
  </r>
  <r>
    <n v="16"/>
    <x v="2"/>
    <x v="1"/>
    <n v="2320"/>
    <d v="2016-01-27T00:00:00"/>
    <x v="1"/>
  </r>
  <r>
    <n v="17"/>
    <x v="2"/>
    <x v="1"/>
    <n v="2116"/>
    <d v="2016-01-28T00:00:00"/>
    <x v="0"/>
  </r>
  <r>
    <n v="18"/>
    <x v="2"/>
    <x v="1"/>
    <n v="1135"/>
    <d v="2016-01-30T00:00:00"/>
    <x v="1"/>
  </r>
  <r>
    <n v="19"/>
    <x v="1"/>
    <x v="0"/>
    <n v="3595"/>
    <d v="2016-01-30T00:00:00"/>
    <x v="1"/>
  </r>
  <r>
    <n v="20"/>
    <x v="5"/>
    <x v="1"/>
    <n v="1161"/>
    <d v="2016-02-02T00:00:00"/>
    <x v="0"/>
  </r>
  <r>
    <n v="21"/>
    <x v="4"/>
    <x v="1"/>
    <n v="2256"/>
    <d v="2016-02-04T00:00:00"/>
    <x v="6"/>
  </r>
  <r>
    <n v="22"/>
    <x v="2"/>
    <x v="1"/>
    <n v="1004"/>
    <d v="2016-02-11T00:00:00"/>
    <x v="5"/>
  </r>
  <r>
    <n v="23"/>
    <x v="2"/>
    <x v="1"/>
    <n v="3642"/>
    <d v="2016-02-14T00:00:00"/>
    <x v="2"/>
  </r>
  <r>
    <n v="24"/>
    <x v="2"/>
    <x v="1"/>
    <n v="4582"/>
    <d v="2016-02-17T00:00:00"/>
    <x v="0"/>
  </r>
  <r>
    <n v="25"/>
    <x v="3"/>
    <x v="0"/>
    <n v="3559"/>
    <d v="2016-02-17T00:00:00"/>
    <x v="1"/>
  </r>
  <r>
    <n v="26"/>
    <x v="0"/>
    <x v="0"/>
    <n v="5154"/>
    <d v="2016-02-17T00:00:00"/>
    <x v="4"/>
  </r>
  <r>
    <n v="27"/>
    <x v="6"/>
    <x v="1"/>
    <n v="7388"/>
    <d v="2016-02-18T00:00:00"/>
    <x v="6"/>
  </r>
  <r>
    <n v="28"/>
    <x v="3"/>
    <x v="0"/>
    <n v="7163"/>
    <d v="2016-02-18T00:00:00"/>
    <x v="0"/>
  </r>
  <r>
    <n v="29"/>
    <x v="3"/>
    <x v="0"/>
    <n v="5101"/>
    <d v="2016-02-20T00:00:00"/>
    <x v="3"/>
  </r>
  <r>
    <n v="30"/>
    <x v="5"/>
    <x v="1"/>
    <n v="7602"/>
    <d v="2016-02-21T00:00:00"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FDC58F-EA34-4144-A7E1-7A52D42DE7DB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3:J6" firstHeaderRow="1" firstDataRow="1" firstDataCol="1"/>
  <pivotFields count="4">
    <pivotField showAll="0"/>
    <pivotField dataField="1" numFmtId="166" showAll="0"/>
    <pivotField axis="axisRow" showAll="0">
      <items count="3">
        <item x="0"/>
        <item x="1"/>
        <item t="default"/>
      </items>
    </pivotField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Sum of Sales" fld="1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04DAE8-5087-4250-8BF5-C8F5F200E3F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3:G9" firstHeaderRow="1" firstDataRow="1" firstDataCol="1"/>
  <pivotFields count="4">
    <pivotField axis="axisRow" showAll="0">
      <items count="6">
        <item x="4"/>
        <item x="1"/>
        <item x="3"/>
        <item x="0"/>
        <item x="2"/>
        <item t="default"/>
      </items>
    </pivotField>
    <pivotField dataField="1" numFmtId="166" showAll="0"/>
    <pivotField showAll="0"/>
    <pivotField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1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90D84F-CDCA-48AA-988F-0F376045D8C1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8:J13" firstHeaderRow="1" firstDataRow="1" firstDataCol="1"/>
  <pivotFields count="4">
    <pivotField showAll="0"/>
    <pivotField dataField="1" numFmtId="166" showAll="0"/>
    <pivotField showAll="0"/>
    <pivotField axis="axisRow" showAll="0">
      <items count="5">
        <item x="3"/>
        <item x="2"/>
        <item x="0"/>
        <item x="1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1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AE98E9-B356-4A82-BBA9-922D8DE315DC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60:C64" firstHeaderRow="1" firstDataRow="1" firstDataCol="1"/>
  <pivotFields count="5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dataField="1" numFmtId="167"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 S" fld="4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F145F-E1F3-41E4-A3A7-FDCFCBE31EFB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4:F61" firstHeaderRow="1" firstDataRow="1" firstDataCol="1"/>
  <pivotFields count="5">
    <pivotField showAll="0"/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dataField="1" numFmtId="167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Sales S" fld="4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364AEC-8F86-4BE4-BB88-5D0A1A488B91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54:C57" firstHeaderRow="1" firstDataRow="1" firstDataCol="1"/>
  <pivotFields count="5"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dataField="1" numFmtId="167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Sum of Sales S" fld="4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573E17-8DB5-422F-8A89-441BF2C6EB86}" name="PivotTable7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59:C68" firstHeaderRow="1" firstDataRow="1" firstDataCol="1"/>
  <pivotFields count="6">
    <pivotField showAll="0"/>
    <pivotField axis="axisRow" dataField="1" showAll="0">
      <items count="8">
        <item x="5"/>
        <item x="2"/>
        <item x="3"/>
        <item x="1"/>
        <item x="0"/>
        <item x="6"/>
        <item x="4"/>
        <item t="default"/>
      </items>
    </pivotField>
    <pivotField showAll="0"/>
    <pivotField numFmtId="167" showAll="0"/>
    <pivotField numFmtId="14" showAll="0"/>
    <pivotField axis="axisRow" showAll="0">
      <items count="8">
        <item h="1" x="4"/>
        <item x="2"/>
        <item h="1" x="6"/>
        <item h="1" x="3"/>
        <item h="1" x="5"/>
        <item x="1"/>
        <item h="1" x="0"/>
        <item t="default"/>
      </items>
    </pivotField>
  </pivotFields>
  <rowFields count="2">
    <field x="5"/>
    <field x="1"/>
  </rowFields>
  <rowItems count="9">
    <i>
      <x v="1"/>
    </i>
    <i r="1">
      <x/>
    </i>
    <i r="1">
      <x v="1"/>
    </i>
    <i r="1">
      <x v="3"/>
    </i>
    <i>
      <x v="5"/>
    </i>
    <i r="1">
      <x v="1"/>
    </i>
    <i r="1">
      <x v="2"/>
    </i>
    <i r="1">
      <x v="3"/>
    </i>
    <i t="grand">
      <x/>
    </i>
  </rowItems>
  <colItems count="1">
    <i/>
  </colItems>
  <dataFields count="1">
    <dataField name="Count of Product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99678E-BE6C-4A9F-B639-557A921476D9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8:C56" firstHeaderRow="1" firstDataRow="1" firstDataCol="1"/>
  <pivotFields count="6">
    <pivotField showAll="0"/>
    <pivotField axis="axisRow" dataField="1" showAll="0">
      <items count="8">
        <item x="5"/>
        <item x="2"/>
        <item x="3"/>
        <item x="1"/>
        <item x="0"/>
        <item x="6"/>
        <item x="4"/>
        <item t="default"/>
      </items>
    </pivotField>
    <pivotField showAll="0"/>
    <pivotField numFmtId="167" showAll="0"/>
    <pivotField numFmtId="14"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Product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D8F5A7-36DB-418B-BAFD-F9CA034BF67E}" name="PivotTable5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2:C45" firstHeaderRow="1" firstDataRow="1" firstDataCol="1"/>
  <pivotFields count="6">
    <pivotField showAll="0"/>
    <pivotField axis="axisRow" showAll="0">
      <items count="8">
        <item x="5"/>
        <item x="2"/>
        <item h="1" x="3"/>
        <item h="1" x="1"/>
        <item h="1" x="0"/>
        <item h="1" x="6"/>
        <item h="1" x="4"/>
        <item t="default"/>
      </items>
    </pivotField>
    <pivotField showAll="0"/>
    <pivotField dataField="1" numFmtId="167" showAll="0"/>
    <pivotField numFmtId="14" showAll="0"/>
    <pivotField showAll="0"/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Sum of Amount" fld="3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261638-81CE-441C-BF8E-91036C685B87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6:C39" firstHeaderRow="1" firstDataRow="1" firstDataCol="1"/>
  <pivotFields count="6">
    <pivotField showAll="0"/>
    <pivotField showAll="0"/>
    <pivotField axis="axisRow" dataField="1" showAll="0">
      <items count="3">
        <item x="1"/>
        <item x="0"/>
        <item t="default"/>
      </items>
    </pivotField>
    <pivotField numFmtId="167" showAll="0"/>
    <pivotField numFmtId="14"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Count of Category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A4F6CD-E93C-4FB2-83B7-39FFB59AA2AE}" name="PivotTable8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72:C80" firstHeaderRow="1" firstDataRow="1" firstDataCol="1"/>
  <pivotFields count="6">
    <pivotField showAll="0"/>
    <pivotField axis="axisRow" showAll="0">
      <items count="8">
        <item x="5"/>
        <item x="2"/>
        <item x="3"/>
        <item x="1"/>
        <item x="0"/>
        <item x="6"/>
        <item x="4"/>
        <item t="default"/>
      </items>
    </pivotField>
    <pivotField showAll="0">
      <items count="3">
        <item x="1"/>
        <item x="0"/>
        <item t="default"/>
      </items>
    </pivotField>
    <pivotField dataField="1" numFmtId="167" showAll="0"/>
    <pivotField numFmtId="14" showAll="0"/>
    <pivotField axis="axisRow" showAll="0">
      <items count="8">
        <item h="1" x="4"/>
        <item h="1" x="2"/>
        <item h="1" x="6"/>
        <item h="1" x="3"/>
        <item h="1" x="5"/>
        <item h="1" x="1"/>
        <item x="0"/>
        <item t="default"/>
      </items>
    </pivotField>
  </pivotFields>
  <rowFields count="2">
    <field x="5"/>
    <field x="1"/>
  </rowFields>
  <rowItems count="8">
    <i>
      <x v="6"/>
    </i>
    <i r="1">
      <x/>
    </i>
    <i r="1">
      <x v="1"/>
    </i>
    <i r="1">
      <x v="2"/>
    </i>
    <i r="1">
      <x v="3"/>
    </i>
    <i r="1">
      <x v="4"/>
    </i>
    <i r="1">
      <x v="6"/>
    </i>
    <i t="grand">
      <x/>
    </i>
  </rowItems>
  <colItems count="1">
    <i/>
  </colItems>
  <dataFields count="1">
    <dataField name="Sum of Amount" fld="3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5" Type="http://schemas.openxmlformats.org/officeDocument/2006/relationships/pivotTable" Target="../pivotTables/pivotTable11.xml"/><Relationship Id="rId4" Type="http://schemas.openxmlformats.org/officeDocument/2006/relationships/pivotTable" Target="../pivotTables/pivot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540B2-D6E8-420D-BAD3-66513A92FF36}">
  <dimension ref="A1:J29"/>
  <sheetViews>
    <sheetView workbookViewId="0">
      <selection activeCell="I30" sqref="I30"/>
    </sheetView>
  </sheetViews>
  <sheetFormatPr defaultRowHeight="14.5" x14ac:dyDescent="0.35"/>
  <cols>
    <col min="2" max="2" width="13.36328125" customWidth="1"/>
    <col min="6" max="6" width="9.6328125" customWidth="1"/>
  </cols>
  <sheetData>
    <row r="1" spans="1:10" x14ac:dyDescent="0.35">
      <c r="A1" s="18" t="s">
        <v>1</v>
      </c>
      <c r="B1" s="18"/>
      <c r="C1" s="18"/>
      <c r="D1" s="18"/>
      <c r="E1" s="18"/>
    </row>
    <row r="2" spans="1:10" x14ac:dyDescent="0.35">
      <c r="A2" s="18" t="s">
        <v>0</v>
      </c>
      <c r="B2" s="18"/>
      <c r="C2" s="18"/>
      <c r="D2" s="18"/>
      <c r="E2" s="18"/>
    </row>
    <row r="4" spans="1:10" x14ac:dyDescent="0.35">
      <c r="A4" t="s">
        <v>2</v>
      </c>
    </row>
    <row r="5" spans="1:10" x14ac:dyDescent="0.35">
      <c r="A5" t="s">
        <v>3</v>
      </c>
      <c r="B5" t="s">
        <v>4</v>
      </c>
      <c r="C5" t="s">
        <v>15</v>
      </c>
      <c r="D5" t="s">
        <v>16</v>
      </c>
      <c r="E5" t="s">
        <v>17</v>
      </c>
      <c r="F5" t="s">
        <v>18</v>
      </c>
      <c r="G5" t="s">
        <v>19</v>
      </c>
      <c r="H5" t="s">
        <v>20</v>
      </c>
      <c r="I5" t="s">
        <v>22</v>
      </c>
      <c r="J5" t="s">
        <v>24</v>
      </c>
    </row>
    <row r="6" spans="1:10" x14ac:dyDescent="0.35">
      <c r="A6">
        <v>1</v>
      </c>
      <c r="B6" t="s">
        <v>5</v>
      </c>
      <c r="C6">
        <v>20</v>
      </c>
      <c r="D6">
        <v>10</v>
      </c>
      <c r="E6">
        <v>14</v>
      </c>
      <c r="F6">
        <v>18</v>
      </c>
      <c r="G6">
        <v>15</v>
      </c>
      <c r="H6">
        <f>SUM(C6:G6)</f>
        <v>77</v>
      </c>
      <c r="I6">
        <f>AVERAGE(C6:G6)</f>
        <v>15.4</v>
      </c>
      <c r="J6" t="str">
        <f>IF(I6&gt;15,"A","B")</f>
        <v>A</v>
      </c>
    </row>
    <row r="7" spans="1:10" x14ac:dyDescent="0.35">
      <c r="A7">
        <v>2</v>
      </c>
      <c r="B7" t="s">
        <v>6</v>
      </c>
      <c r="C7">
        <v>21</v>
      </c>
      <c r="D7">
        <v>12</v>
      </c>
      <c r="E7">
        <v>14</v>
      </c>
      <c r="F7">
        <v>12</v>
      </c>
      <c r="G7">
        <v>18</v>
      </c>
      <c r="H7">
        <f t="shared" ref="H7:H15" si="0">SUM(C7:G7)</f>
        <v>77</v>
      </c>
      <c r="I7">
        <f t="shared" ref="I7:I15" si="1">AVERAGE(C7:G7)</f>
        <v>15.4</v>
      </c>
      <c r="J7" t="str">
        <f t="shared" ref="J7:J15" si="2">IF(I7&gt;15,"A","B")</f>
        <v>A</v>
      </c>
    </row>
    <row r="8" spans="1:10" x14ac:dyDescent="0.35">
      <c r="A8">
        <v>3</v>
      </c>
      <c r="B8" t="s">
        <v>7</v>
      </c>
      <c r="C8">
        <v>33</v>
      </c>
      <c r="D8">
        <v>15</v>
      </c>
      <c r="E8">
        <v>7</v>
      </c>
      <c r="F8">
        <v>14</v>
      </c>
      <c r="G8">
        <v>17</v>
      </c>
      <c r="H8">
        <f t="shared" si="0"/>
        <v>86</v>
      </c>
      <c r="I8">
        <f t="shared" si="1"/>
        <v>17.2</v>
      </c>
      <c r="J8" t="str">
        <f t="shared" si="2"/>
        <v>A</v>
      </c>
    </row>
    <row r="9" spans="1:10" x14ac:dyDescent="0.35">
      <c r="A9">
        <v>4</v>
      </c>
      <c r="B9" t="s">
        <v>8</v>
      </c>
      <c r="C9">
        <v>15</v>
      </c>
      <c r="D9">
        <v>14</v>
      </c>
      <c r="E9">
        <v>8</v>
      </c>
      <c r="F9">
        <v>16</v>
      </c>
      <c r="G9">
        <v>20</v>
      </c>
      <c r="H9">
        <f t="shared" si="0"/>
        <v>73</v>
      </c>
      <c r="I9">
        <f t="shared" si="1"/>
        <v>14.6</v>
      </c>
      <c r="J9" t="str">
        <f t="shared" si="2"/>
        <v>B</v>
      </c>
    </row>
    <row r="10" spans="1:10" x14ac:dyDescent="0.35">
      <c r="A10">
        <v>5</v>
      </c>
      <c r="B10" t="s">
        <v>9</v>
      </c>
      <c r="C10">
        <v>14</v>
      </c>
      <c r="D10">
        <v>17</v>
      </c>
      <c r="E10">
        <v>10</v>
      </c>
      <c r="F10">
        <v>13</v>
      </c>
      <c r="G10">
        <v>18</v>
      </c>
      <c r="H10">
        <f t="shared" si="0"/>
        <v>72</v>
      </c>
      <c r="I10">
        <f t="shared" si="1"/>
        <v>14.4</v>
      </c>
      <c r="J10" t="str">
        <f t="shared" si="2"/>
        <v>B</v>
      </c>
    </row>
    <row r="11" spans="1:10" x14ac:dyDescent="0.35">
      <c r="A11">
        <v>6</v>
      </c>
      <c r="B11" t="s">
        <v>10</v>
      </c>
      <c r="C11">
        <v>16</v>
      </c>
      <c r="D11">
        <v>8</v>
      </c>
      <c r="E11">
        <v>20</v>
      </c>
      <c r="F11">
        <v>17</v>
      </c>
      <c r="G11">
        <v>15</v>
      </c>
      <c r="H11">
        <f t="shared" si="0"/>
        <v>76</v>
      </c>
      <c r="I11">
        <f t="shared" si="1"/>
        <v>15.2</v>
      </c>
      <c r="J11" t="str">
        <f t="shared" si="2"/>
        <v>A</v>
      </c>
    </row>
    <row r="12" spans="1:10" x14ac:dyDescent="0.35">
      <c r="A12">
        <v>7</v>
      </c>
      <c r="B12" t="s">
        <v>11</v>
      </c>
      <c r="C12">
        <v>18</v>
      </c>
      <c r="D12">
        <v>19</v>
      </c>
      <c r="E12">
        <v>3</v>
      </c>
      <c r="F12">
        <v>10</v>
      </c>
      <c r="G12">
        <v>14</v>
      </c>
      <c r="H12">
        <f t="shared" si="0"/>
        <v>64</v>
      </c>
      <c r="I12">
        <f t="shared" si="1"/>
        <v>12.8</v>
      </c>
      <c r="J12" t="str">
        <f t="shared" si="2"/>
        <v>B</v>
      </c>
    </row>
    <row r="13" spans="1:10" x14ac:dyDescent="0.35">
      <c r="A13">
        <v>8</v>
      </c>
      <c r="B13" t="s">
        <v>12</v>
      </c>
      <c r="C13">
        <v>19</v>
      </c>
      <c r="D13">
        <v>20</v>
      </c>
      <c r="E13">
        <v>7</v>
      </c>
      <c r="F13">
        <v>14</v>
      </c>
      <c r="G13">
        <v>18</v>
      </c>
      <c r="H13">
        <f t="shared" si="0"/>
        <v>78</v>
      </c>
      <c r="I13">
        <f t="shared" si="1"/>
        <v>15.6</v>
      </c>
      <c r="J13" t="str">
        <f t="shared" si="2"/>
        <v>A</v>
      </c>
    </row>
    <row r="14" spans="1:10" x14ac:dyDescent="0.35">
      <c r="A14">
        <v>9</v>
      </c>
      <c r="B14" t="s">
        <v>13</v>
      </c>
      <c r="C14">
        <v>22</v>
      </c>
      <c r="D14">
        <v>13</v>
      </c>
      <c r="E14">
        <v>8</v>
      </c>
      <c r="F14">
        <v>12</v>
      </c>
      <c r="G14">
        <v>19</v>
      </c>
      <c r="H14">
        <f t="shared" si="0"/>
        <v>74</v>
      </c>
      <c r="I14">
        <f t="shared" si="1"/>
        <v>14.8</v>
      </c>
      <c r="J14" t="str">
        <f t="shared" si="2"/>
        <v>B</v>
      </c>
    </row>
    <row r="15" spans="1:10" x14ac:dyDescent="0.35">
      <c r="A15">
        <v>10</v>
      </c>
      <c r="B15" t="s">
        <v>14</v>
      </c>
      <c r="C15">
        <v>26</v>
      </c>
      <c r="D15">
        <v>12</v>
      </c>
      <c r="E15">
        <v>10</v>
      </c>
      <c r="F15">
        <v>11</v>
      </c>
      <c r="G15">
        <v>27</v>
      </c>
      <c r="H15">
        <f t="shared" si="0"/>
        <v>86</v>
      </c>
      <c r="I15">
        <f t="shared" si="1"/>
        <v>17.2</v>
      </c>
      <c r="J15" t="str">
        <f t="shared" si="2"/>
        <v>A</v>
      </c>
    </row>
    <row r="17" spans="1:9" x14ac:dyDescent="0.35">
      <c r="A17" t="s">
        <v>21</v>
      </c>
    </row>
    <row r="18" spans="1:9" x14ac:dyDescent="0.35">
      <c r="A18" t="s">
        <v>23</v>
      </c>
    </row>
    <row r="19" spans="1:9" x14ac:dyDescent="0.35">
      <c r="A19" t="s">
        <v>25</v>
      </c>
    </row>
    <row r="20" spans="1:9" x14ac:dyDescent="0.35">
      <c r="A20" t="s">
        <v>26</v>
      </c>
      <c r="D20">
        <f>COUNTIF($J$6:$J$15,"A")</f>
        <v>6</v>
      </c>
    </row>
    <row r="21" spans="1:9" x14ac:dyDescent="0.35">
      <c r="A21" t="s">
        <v>27</v>
      </c>
      <c r="D21">
        <f>COUNTIF($J$6:$J$15,"B")</f>
        <v>4</v>
      </c>
    </row>
    <row r="22" spans="1:9" x14ac:dyDescent="0.35">
      <c r="A22" t="s">
        <v>28</v>
      </c>
    </row>
    <row r="23" spans="1:9" x14ac:dyDescent="0.35">
      <c r="A23" t="s">
        <v>29</v>
      </c>
      <c r="C23">
        <f>SUMIF(B6:B15,"ASHOK",H6:H15)+SUMIF(B6:B15,"MANOJ",H6:H15)</f>
        <v>163</v>
      </c>
      <c r="E23" t="s">
        <v>30</v>
      </c>
      <c r="F23">
        <f>AVERAGE(SUMIF(B6:B15,"ASHOK",I6:I15)+SUMIF(B6:B15,"MANOJ",I6:I15))</f>
        <v>32.6</v>
      </c>
    </row>
    <row r="24" spans="1:9" x14ac:dyDescent="0.35">
      <c r="A24" t="s">
        <v>31</v>
      </c>
    </row>
    <row r="25" spans="1:9" x14ac:dyDescent="0.35">
      <c r="A25" t="s">
        <v>32</v>
      </c>
      <c r="C25">
        <f>COUNTA(B6:B15)</f>
        <v>10</v>
      </c>
    </row>
    <row r="26" spans="1:9" x14ac:dyDescent="0.35">
      <c r="A26" t="s">
        <v>33</v>
      </c>
    </row>
    <row r="27" spans="1:9" x14ac:dyDescent="0.35">
      <c r="A27" t="s">
        <v>34</v>
      </c>
      <c r="H27">
        <f>COUNTIF(C6:C15,"&gt;20")</f>
        <v>4</v>
      </c>
    </row>
    <row r="28" spans="1:9" x14ac:dyDescent="0.35">
      <c r="A28" t="s">
        <v>35</v>
      </c>
      <c r="G28">
        <f>COUNTIF(D6:D15,"&lt;15")</f>
        <v>6</v>
      </c>
    </row>
    <row r="29" spans="1:9" x14ac:dyDescent="0.35">
      <c r="A29" t="s">
        <v>36</v>
      </c>
      <c r="I29">
        <f>COUNTIFS(C6:C15,"&gt;20",D6:D15,"&lt;15")</f>
        <v>3</v>
      </c>
    </row>
  </sheetData>
  <mergeCells count="2">
    <mergeCell ref="A2:E2"/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99099-0CE0-43AA-BF38-3A1414E5E90C}">
  <dimension ref="A1:F27"/>
  <sheetViews>
    <sheetView topLeftCell="A2" workbookViewId="0">
      <selection activeCell="H8" sqref="H8"/>
    </sheetView>
  </sheetViews>
  <sheetFormatPr defaultRowHeight="14.5" x14ac:dyDescent="0.35"/>
  <cols>
    <col min="2" max="2" width="18" customWidth="1"/>
    <col min="6" max="6" width="11" customWidth="1"/>
  </cols>
  <sheetData>
    <row r="1" spans="1:6" x14ac:dyDescent="0.35">
      <c r="A1" s="18" t="s">
        <v>37</v>
      </c>
      <c r="B1" s="18"/>
      <c r="C1" s="18"/>
      <c r="D1" s="18"/>
      <c r="E1" s="18"/>
    </row>
    <row r="2" spans="1:6" x14ac:dyDescent="0.35">
      <c r="A2" s="18" t="s">
        <v>38</v>
      </c>
      <c r="B2" s="18"/>
      <c r="C2" s="18"/>
      <c r="D2" s="18"/>
      <c r="E2" s="18"/>
    </row>
    <row r="4" spans="1:6" x14ac:dyDescent="0.35">
      <c r="A4" s="1" t="s">
        <v>39</v>
      </c>
      <c r="B4" s="1" t="s">
        <v>40</v>
      </c>
      <c r="C4" s="1" t="s">
        <v>51</v>
      </c>
      <c r="D4" s="1" t="s">
        <v>52</v>
      </c>
      <c r="E4" s="1" t="s">
        <v>53</v>
      </c>
      <c r="F4" s="1" t="s">
        <v>65</v>
      </c>
    </row>
    <row r="5" spans="1:6" x14ac:dyDescent="0.35">
      <c r="A5" s="1">
        <v>1</v>
      </c>
      <c r="B5" s="1" t="s">
        <v>41</v>
      </c>
      <c r="C5" s="1">
        <v>20</v>
      </c>
      <c r="D5" s="1">
        <v>40000</v>
      </c>
      <c r="E5" s="1">
        <f>D5*C5</f>
        <v>800000</v>
      </c>
      <c r="F5" s="1" t="str">
        <f>IF(E5&gt;500000,"Expensive","Lets Buy it")</f>
        <v>Expensive</v>
      </c>
    </row>
    <row r="6" spans="1:6" x14ac:dyDescent="0.35">
      <c r="A6" s="1">
        <v>2</v>
      </c>
      <c r="B6" s="1" t="s">
        <v>42</v>
      </c>
      <c r="C6" s="1">
        <v>30</v>
      </c>
      <c r="D6" s="1">
        <v>20000</v>
      </c>
      <c r="E6" s="1">
        <f t="shared" ref="E6:E14" si="0">D6*C6</f>
        <v>600000</v>
      </c>
      <c r="F6" s="1" t="str">
        <f t="shared" ref="F6:F14" si="1">IF(E6&gt;500000,"Expensive","Lets Buy it")</f>
        <v>Expensive</v>
      </c>
    </row>
    <row r="7" spans="1:6" x14ac:dyDescent="0.35">
      <c r="A7" s="1">
        <v>3</v>
      </c>
      <c r="B7" s="1" t="s">
        <v>43</v>
      </c>
      <c r="C7" s="1">
        <v>15</v>
      </c>
      <c r="D7" s="1">
        <v>10000</v>
      </c>
      <c r="E7" s="1">
        <f t="shared" si="0"/>
        <v>150000</v>
      </c>
      <c r="F7" s="1" t="str">
        <f t="shared" si="1"/>
        <v>Lets Buy it</v>
      </c>
    </row>
    <row r="8" spans="1:6" x14ac:dyDescent="0.35">
      <c r="A8" s="1">
        <v>4</v>
      </c>
      <c r="B8" s="1" t="s">
        <v>44</v>
      </c>
      <c r="C8" s="1">
        <v>14</v>
      </c>
      <c r="D8" s="1">
        <v>15000</v>
      </c>
      <c r="E8" s="1">
        <f t="shared" si="0"/>
        <v>210000</v>
      </c>
      <c r="F8" s="1" t="str">
        <f t="shared" si="1"/>
        <v>Lets Buy it</v>
      </c>
    </row>
    <row r="9" spans="1:6" x14ac:dyDescent="0.35">
      <c r="A9" s="1">
        <v>5</v>
      </c>
      <c r="B9" s="1" t="s">
        <v>45</v>
      </c>
      <c r="C9" s="1">
        <v>18</v>
      </c>
      <c r="D9" s="1">
        <v>20000</v>
      </c>
      <c r="E9" s="1">
        <f t="shared" si="0"/>
        <v>360000</v>
      </c>
      <c r="F9" s="1" t="str">
        <f t="shared" si="1"/>
        <v>Lets Buy it</v>
      </c>
    </row>
    <row r="10" spans="1:6" x14ac:dyDescent="0.35">
      <c r="A10" s="1">
        <v>6</v>
      </c>
      <c r="B10" s="1" t="s">
        <v>46</v>
      </c>
      <c r="C10" s="1">
        <v>17</v>
      </c>
      <c r="D10" s="1">
        <v>2000</v>
      </c>
      <c r="E10" s="1">
        <f t="shared" si="0"/>
        <v>34000</v>
      </c>
      <c r="F10" s="1" t="str">
        <f t="shared" si="1"/>
        <v>Lets Buy it</v>
      </c>
    </row>
    <row r="11" spans="1:6" x14ac:dyDescent="0.35">
      <c r="A11" s="1">
        <v>7</v>
      </c>
      <c r="B11" s="1" t="s">
        <v>47</v>
      </c>
      <c r="C11" s="1">
        <v>10</v>
      </c>
      <c r="D11" s="1">
        <v>25000</v>
      </c>
      <c r="E11" s="1">
        <f t="shared" si="0"/>
        <v>250000</v>
      </c>
      <c r="F11" s="1" t="str">
        <f t="shared" si="1"/>
        <v>Lets Buy it</v>
      </c>
    </row>
    <row r="12" spans="1:6" x14ac:dyDescent="0.35">
      <c r="A12" s="1">
        <v>8</v>
      </c>
      <c r="B12" s="1" t="s">
        <v>48</v>
      </c>
      <c r="C12" s="1">
        <v>5</v>
      </c>
      <c r="D12" s="1">
        <v>250</v>
      </c>
      <c r="E12" s="1">
        <f t="shared" si="0"/>
        <v>1250</v>
      </c>
      <c r="F12" s="1" t="str">
        <f t="shared" si="1"/>
        <v>Lets Buy it</v>
      </c>
    </row>
    <row r="13" spans="1:6" x14ac:dyDescent="0.35">
      <c r="A13" s="1">
        <v>9</v>
      </c>
      <c r="B13" s="1" t="s">
        <v>49</v>
      </c>
      <c r="C13" s="1">
        <v>25</v>
      </c>
      <c r="D13" s="1">
        <v>100</v>
      </c>
      <c r="E13" s="1">
        <f t="shared" si="0"/>
        <v>2500</v>
      </c>
      <c r="F13" s="1" t="str">
        <f t="shared" si="1"/>
        <v>Lets Buy it</v>
      </c>
    </row>
    <row r="14" spans="1:6" x14ac:dyDescent="0.35">
      <c r="A14" s="1">
        <v>10</v>
      </c>
      <c r="B14" s="1" t="s">
        <v>50</v>
      </c>
      <c r="C14" s="1">
        <v>30</v>
      </c>
      <c r="D14" s="1">
        <v>12000</v>
      </c>
      <c r="E14" s="1">
        <f t="shared" si="0"/>
        <v>360000</v>
      </c>
      <c r="F14" s="1" t="str">
        <f t="shared" si="1"/>
        <v>Lets Buy it</v>
      </c>
    </row>
    <row r="16" spans="1:6" x14ac:dyDescent="0.35">
      <c r="A16" t="s">
        <v>54</v>
      </c>
    </row>
    <row r="17" spans="1:4" x14ac:dyDescent="0.35">
      <c r="A17" t="s">
        <v>55</v>
      </c>
    </row>
    <row r="18" spans="1:4" x14ac:dyDescent="0.35">
      <c r="A18" t="s">
        <v>56</v>
      </c>
      <c r="B18">
        <f>COUNTA(B5:B14)</f>
        <v>10</v>
      </c>
    </row>
    <row r="19" spans="1:4" x14ac:dyDescent="0.35">
      <c r="A19" t="s">
        <v>57</v>
      </c>
    </row>
    <row r="20" spans="1:4" x14ac:dyDescent="0.35">
      <c r="A20" t="s">
        <v>58</v>
      </c>
      <c r="D20">
        <f>COUNTIF(C5:C14,"&gt;20")</f>
        <v>3</v>
      </c>
    </row>
    <row r="21" spans="1:4" x14ac:dyDescent="0.35">
      <c r="A21" t="s">
        <v>59</v>
      </c>
      <c r="D21">
        <f>COUNTIF(C5:C14,"&lt;20")</f>
        <v>6</v>
      </c>
    </row>
    <row r="23" spans="1:4" x14ac:dyDescent="0.35">
      <c r="A23" t="s">
        <v>63</v>
      </c>
    </row>
    <row r="24" spans="1:4" x14ac:dyDescent="0.35">
      <c r="A24" t="s">
        <v>60</v>
      </c>
      <c r="B24">
        <f>_xlfn.XLOOKUP(B11,B5:B14,C5:C14,,0,)</f>
        <v>10</v>
      </c>
    </row>
    <row r="25" spans="1:4" x14ac:dyDescent="0.35">
      <c r="A25" t="s">
        <v>61</v>
      </c>
      <c r="B25">
        <f>_xlfn.XLOOKUP(B11,B5:B14,D5:D14,,0,)</f>
        <v>25000</v>
      </c>
    </row>
    <row r="26" spans="1:4" x14ac:dyDescent="0.35">
      <c r="A26" t="s">
        <v>62</v>
      </c>
      <c r="B26">
        <f>_xlfn.XLOOKUP(B11,B5:B14,E5:E14,,0,)</f>
        <v>250000</v>
      </c>
    </row>
    <row r="27" spans="1:4" x14ac:dyDescent="0.35">
      <c r="A27" t="s">
        <v>64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2A87F-02AE-4909-A9E6-088BD6F06133}">
  <dimension ref="A1:G21"/>
  <sheetViews>
    <sheetView workbookViewId="0">
      <selection activeCell="J7" sqref="J7"/>
    </sheetView>
  </sheetViews>
  <sheetFormatPr defaultRowHeight="14.5" x14ac:dyDescent="0.35"/>
  <cols>
    <col min="1" max="1" width="11.1796875" customWidth="1"/>
  </cols>
  <sheetData>
    <row r="1" spans="1:7" x14ac:dyDescent="0.35">
      <c r="A1" s="18" t="s">
        <v>66</v>
      </c>
      <c r="B1" s="18"/>
      <c r="C1" s="18"/>
      <c r="D1" s="18"/>
      <c r="E1" s="18"/>
      <c r="F1" s="18"/>
      <c r="G1" s="18"/>
    </row>
    <row r="3" spans="1:7" x14ac:dyDescent="0.35">
      <c r="A3" s="1" t="s">
        <v>67</v>
      </c>
      <c r="B3" s="1" t="s">
        <v>77</v>
      </c>
      <c r="C3" s="1" t="s">
        <v>78</v>
      </c>
      <c r="D3" s="1" t="s">
        <v>79</v>
      </c>
      <c r="E3" s="1" t="s">
        <v>80</v>
      </c>
      <c r="F3" s="1" t="s">
        <v>83</v>
      </c>
      <c r="G3" s="1" t="s">
        <v>65</v>
      </c>
    </row>
    <row r="4" spans="1:7" x14ac:dyDescent="0.35">
      <c r="A4" s="1" t="s">
        <v>68</v>
      </c>
      <c r="B4" s="1">
        <v>20</v>
      </c>
      <c r="C4" s="1">
        <v>15</v>
      </c>
      <c r="D4" s="1">
        <v>20</v>
      </c>
      <c r="E4" s="1">
        <f>SUM(B4:D4)</f>
        <v>55</v>
      </c>
      <c r="F4" s="1">
        <f>AVERAGE(B4:D4)</f>
        <v>18.333333333333332</v>
      </c>
      <c r="G4" s="1" t="str">
        <f>IF(F4&gt;20,"A",IF(F4&gt;15,"B","C"))</f>
        <v>B</v>
      </c>
    </row>
    <row r="5" spans="1:7" x14ac:dyDescent="0.35">
      <c r="A5" s="1" t="s">
        <v>69</v>
      </c>
      <c r="B5" s="1">
        <v>30</v>
      </c>
      <c r="C5" s="1">
        <v>12</v>
      </c>
      <c r="D5" s="1">
        <v>15</v>
      </c>
      <c r="E5" s="1">
        <f t="shared" ref="E5:E12" si="0">SUM(B5:D5)</f>
        <v>57</v>
      </c>
      <c r="F5" s="1">
        <f t="shared" ref="F5:F12" si="1">AVERAGE(B5:D5)</f>
        <v>19</v>
      </c>
      <c r="G5" s="1" t="str">
        <f t="shared" ref="G5:G12" si="2">IF(F5&gt;20,"A",IF(F5&gt;15,"B","C"))</f>
        <v>B</v>
      </c>
    </row>
    <row r="6" spans="1:7" x14ac:dyDescent="0.35">
      <c r="A6" s="1" t="s">
        <v>70</v>
      </c>
      <c r="B6" s="1">
        <v>15</v>
      </c>
      <c r="C6" s="1">
        <v>14</v>
      </c>
      <c r="D6" s="1">
        <v>14</v>
      </c>
      <c r="E6" s="1">
        <f t="shared" si="0"/>
        <v>43</v>
      </c>
      <c r="F6" s="1">
        <f t="shared" si="1"/>
        <v>14.333333333333334</v>
      </c>
      <c r="G6" s="1" t="str">
        <f t="shared" si="2"/>
        <v>C</v>
      </c>
    </row>
    <row r="7" spans="1:7" x14ac:dyDescent="0.35">
      <c r="A7" s="1" t="s">
        <v>71</v>
      </c>
      <c r="B7" s="1">
        <v>12</v>
      </c>
      <c r="C7" s="1">
        <v>17</v>
      </c>
      <c r="D7" s="1">
        <v>17</v>
      </c>
      <c r="E7" s="1">
        <f t="shared" si="0"/>
        <v>46</v>
      </c>
      <c r="F7" s="1">
        <f t="shared" si="1"/>
        <v>15.333333333333334</v>
      </c>
      <c r="G7" s="1" t="str">
        <f t="shared" si="2"/>
        <v>B</v>
      </c>
    </row>
    <row r="8" spans="1:7" x14ac:dyDescent="0.35">
      <c r="A8" s="1" t="s">
        <v>72</v>
      </c>
      <c r="B8" s="1">
        <v>14</v>
      </c>
      <c r="C8" s="1">
        <v>18</v>
      </c>
      <c r="D8" s="1">
        <v>18</v>
      </c>
      <c r="E8" s="1">
        <f t="shared" si="0"/>
        <v>50</v>
      </c>
      <c r="F8" s="1">
        <f t="shared" si="1"/>
        <v>16.666666666666668</v>
      </c>
      <c r="G8" s="1" t="str">
        <f t="shared" si="2"/>
        <v>B</v>
      </c>
    </row>
    <row r="9" spans="1:7" x14ac:dyDescent="0.35">
      <c r="A9" s="1" t="s">
        <v>73</v>
      </c>
      <c r="B9" s="1">
        <v>16</v>
      </c>
      <c r="C9" s="1">
        <v>25</v>
      </c>
      <c r="D9" s="1">
        <v>20</v>
      </c>
      <c r="E9" s="1">
        <f t="shared" si="0"/>
        <v>61</v>
      </c>
      <c r="F9" s="1">
        <f t="shared" si="1"/>
        <v>20.333333333333332</v>
      </c>
      <c r="G9" s="1" t="str">
        <f t="shared" si="2"/>
        <v>A</v>
      </c>
    </row>
    <row r="10" spans="1:7" x14ac:dyDescent="0.35">
      <c r="A10" s="1" t="s">
        <v>74</v>
      </c>
      <c r="B10" s="1">
        <v>18</v>
      </c>
      <c r="C10" s="1">
        <v>21</v>
      </c>
      <c r="D10" s="1">
        <v>22</v>
      </c>
      <c r="E10" s="1">
        <f t="shared" si="0"/>
        <v>61</v>
      </c>
      <c r="F10" s="1">
        <f t="shared" si="1"/>
        <v>20.333333333333332</v>
      </c>
      <c r="G10" s="1" t="str">
        <f t="shared" si="2"/>
        <v>A</v>
      </c>
    </row>
    <row r="11" spans="1:7" x14ac:dyDescent="0.35">
      <c r="A11" s="1" t="s">
        <v>75</v>
      </c>
      <c r="B11" s="1">
        <v>17</v>
      </c>
      <c r="C11" s="1">
        <v>23</v>
      </c>
      <c r="D11" s="1">
        <v>13</v>
      </c>
      <c r="E11" s="1">
        <f t="shared" si="0"/>
        <v>53</v>
      </c>
      <c r="F11" s="1">
        <f t="shared" si="1"/>
        <v>17.666666666666668</v>
      </c>
      <c r="G11" s="1" t="str">
        <f t="shared" si="2"/>
        <v>B</v>
      </c>
    </row>
    <row r="12" spans="1:7" x14ac:dyDescent="0.35">
      <c r="A12" s="1" t="s">
        <v>76</v>
      </c>
      <c r="B12" s="1">
        <v>20</v>
      </c>
      <c r="C12" s="1">
        <v>25</v>
      </c>
      <c r="D12" s="1">
        <v>25</v>
      </c>
      <c r="E12" s="1">
        <f t="shared" si="0"/>
        <v>70</v>
      </c>
      <c r="F12" s="1">
        <f t="shared" si="1"/>
        <v>23.333333333333332</v>
      </c>
      <c r="G12" s="1" t="str">
        <f t="shared" si="2"/>
        <v>A</v>
      </c>
    </row>
    <row r="14" spans="1:7" x14ac:dyDescent="0.35">
      <c r="A14" t="s">
        <v>81</v>
      </c>
    </row>
    <row r="15" spans="1:7" x14ac:dyDescent="0.35">
      <c r="A15" t="s">
        <v>56</v>
      </c>
      <c r="B15">
        <f>COUNTA(A4:A12)</f>
        <v>9</v>
      </c>
    </row>
    <row r="16" spans="1:7" x14ac:dyDescent="0.35">
      <c r="A16" t="s">
        <v>82</v>
      </c>
    </row>
    <row r="17" spans="1:2" x14ac:dyDescent="0.35">
      <c r="A17" t="s">
        <v>56</v>
      </c>
      <c r="B17">
        <f>COUNTIF(B4:B12,"&gt;20")</f>
        <v>1</v>
      </c>
    </row>
    <row r="18" spans="1:2" x14ac:dyDescent="0.35">
      <c r="A18" t="s">
        <v>84</v>
      </c>
    </row>
    <row r="19" spans="1:2" x14ac:dyDescent="0.35">
      <c r="A19" t="s">
        <v>85</v>
      </c>
    </row>
    <row r="20" spans="1:2" x14ac:dyDescent="0.35">
      <c r="A20" t="s">
        <v>86</v>
      </c>
    </row>
    <row r="21" spans="1:2" x14ac:dyDescent="0.35">
      <c r="A21" t="s">
        <v>56</v>
      </c>
      <c r="B21">
        <f>SUM(E5:E7)/AVERAGE(F5:F7)</f>
        <v>8.9999999999999982</v>
      </c>
    </row>
  </sheetData>
  <mergeCells count="1">
    <mergeCell ref="A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92DE1-37AE-479C-B23C-7A4A1886ABDB}">
  <dimension ref="A1:I25"/>
  <sheetViews>
    <sheetView topLeftCell="A12" workbookViewId="0">
      <selection activeCell="C26" sqref="C26"/>
    </sheetView>
  </sheetViews>
  <sheetFormatPr defaultRowHeight="14.5" x14ac:dyDescent="0.35"/>
  <cols>
    <col min="2" max="2" width="13.81640625" customWidth="1"/>
    <col min="3" max="3" width="13.26953125" customWidth="1"/>
  </cols>
  <sheetData>
    <row r="1" spans="1:9" x14ac:dyDescent="0.35">
      <c r="A1" t="s">
        <v>87</v>
      </c>
    </row>
    <row r="3" spans="1:9" x14ac:dyDescent="0.35">
      <c r="A3" s="1" t="s">
        <v>88</v>
      </c>
      <c r="B3" s="1" t="s">
        <v>94</v>
      </c>
      <c r="C3" s="1" t="s">
        <v>97</v>
      </c>
      <c r="D3" s="1" t="s">
        <v>104</v>
      </c>
      <c r="E3" s="1" t="s">
        <v>105</v>
      </c>
      <c r="F3" s="1" t="s">
        <v>112</v>
      </c>
      <c r="G3" s="1" t="s">
        <v>113</v>
      </c>
      <c r="H3" s="1" t="s">
        <v>80</v>
      </c>
      <c r="I3" s="1" t="s">
        <v>65</v>
      </c>
    </row>
    <row r="4" spans="1:9" x14ac:dyDescent="0.35">
      <c r="A4" s="1" t="s">
        <v>5</v>
      </c>
      <c r="B4" s="1" t="s">
        <v>47</v>
      </c>
      <c r="C4" s="1" t="s">
        <v>98</v>
      </c>
      <c r="D4" s="1">
        <v>5000</v>
      </c>
      <c r="E4" s="1">
        <f>(D4*2.5)/100</f>
        <v>125</v>
      </c>
      <c r="F4" s="1">
        <f>(D4*3.5)/100</f>
        <v>175</v>
      </c>
      <c r="G4" s="1">
        <f>(D4*1.5)/100</f>
        <v>75</v>
      </c>
      <c r="H4" s="1">
        <f>SUM(D4:G4)</f>
        <v>5375</v>
      </c>
      <c r="I4" s="1" t="str">
        <f>IF(H4&gt;20000,"A",IF(H4&gt;10000,"B","C"))</f>
        <v>C</v>
      </c>
    </row>
    <row r="5" spans="1:9" x14ac:dyDescent="0.35">
      <c r="A5" s="1" t="s">
        <v>89</v>
      </c>
      <c r="B5" s="1" t="s">
        <v>47</v>
      </c>
      <c r="C5" s="1" t="s">
        <v>99</v>
      </c>
      <c r="D5" s="1">
        <v>8000</v>
      </c>
      <c r="E5" s="1">
        <f t="shared" ref="E5:E11" si="0">(D5*2.5)/100</f>
        <v>200</v>
      </c>
      <c r="F5" s="1">
        <f t="shared" ref="F5:F11" si="1">(D5*3.5)/100</f>
        <v>280</v>
      </c>
      <c r="G5" s="1">
        <f t="shared" ref="G5:G11" si="2">(D5*1.5)/100</f>
        <v>120</v>
      </c>
      <c r="H5" s="1">
        <f t="shared" ref="H5:H11" si="3">SUM(D5:G5)</f>
        <v>8600</v>
      </c>
      <c r="I5" s="1" t="str">
        <f t="shared" ref="I5:I11" si="4">IF(H5&gt;20000,"A",IF(H5&gt;10000,"B","C"))</f>
        <v>C</v>
      </c>
    </row>
    <row r="6" spans="1:9" x14ac:dyDescent="0.35">
      <c r="A6" s="1" t="s">
        <v>7</v>
      </c>
      <c r="B6" s="1" t="s">
        <v>47</v>
      </c>
      <c r="C6" s="1" t="s">
        <v>100</v>
      </c>
      <c r="D6" s="1">
        <v>3000</v>
      </c>
      <c r="E6" s="1">
        <f t="shared" si="0"/>
        <v>75</v>
      </c>
      <c r="F6" s="1">
        <f t="shared" si="1"/>
        <v>105</v>
      </c>
      <c r="G6" s="1">
        <f t="shared" si="2"/>
        <v>45</v>
      </c>
      <c r="H6" s="1">
        <f t="shared" si="3"/>
        <v>3225</v>
      </c>
      <c r="I6" s="1" t="str">
        <f t="shared" si="4"/>
        <v>C</v>
      </c>
    </row>
    <row r="7" spans="1:9" x14ac:dyDescent="0.35">
      <c r="A7" s="1" t="s">
        <v>10</v>
      </c>
      <c r="B7" s="1" t="s">
        <v>95</v>
      </c>
      <c r="C7" s="1" t="s">
        <v>101</v>
      </c>
      <c r="D7" s="1">
        <v>6000</v>
      </c>
      <c r="E7" s="1">
        <f t="shared" si="0"/>
        <v>150</v>
      </c>
      <c r="F7" s="1">
        <f t="shared" si="1"/>
        <v>210</v>
      </c>
      <c r="G7" s="1">
        <f t="shared" si="2"/>
        <v>90</v>
      </c>
      <c r="H7" s="1">
        <f t="shared" si="3"/>
        <v>6450</v>
      </c>
      <c r="I7" s="1" t="str">
        <f t="shared" si="4"/>
        <v>C</v>
      </c>
    </row>
    <row r="8" spans="1:9" x14ac:dyDescent="0.35">
      <c r="A8" s="1" t="s">
        <v>90</v>
      </c>
      <c r="B8" s="1" t="s">
        <v>95</v>
      </c>
      <c r="C8" s="1" t="s">
        <v>102</v>
      </c>
      <c r="D8" s="1">
        <v>8000</v>
      </c>
      <c r="E8" s="1">
        <f t="shared" si="0"/>
        <v>200</v>
      </c>
      <c r="F8" s="1">
        <f t="shared" si="1"/>
        <v>280</v>
      </c>
      <c r="G8" s="1">
        <f t="shared" si="2"/>
        <v>120</v>
      </c>
      <c r="H8" s="1">
        <f t="shared" si="3"/>
        <v>8600</v>
      </c>
      <c r="I8" s="1" t="str">
        <f t="shared" si="4"/>
        <v>C</v>
      </c>
    </row>
    <row r="9" spans="1:9" x14ac:dyDescent="0.35">
      <c r="A9" s="1" t="s">
        <v>91</v>
      </c>
      <c r="B9" s="1" t="s">
        <v>95</v>
      </c>
      <c r="C9" s="1" t="s">
        <v>103</v>
      </c>
      <c r="D9" s="1">
        <v>9000</v>
      </c>
      <c r="E9" s="1">
        <f t="shared" si="0"/>
        <v>225</v>
      </c>
      <c r="F9" s="1">
        <f t="shared" si="1"/>
        <v>315</v>
      </c>
      <c r="G9" s="1">
        <f t="shared" si="2"/>
        <v>135</v>
      </c>
      <c r="H9" s="1">
        <f t="shared" si="3"/>
        <v>9675</v>
      </c>
      <c r="I9" s="1" t="str">
        <f t="shared" si="4"/>
        <v>C</v>
      </c>
    </row>
    <row r="10" spans="1:9" x14ac:dyDescent="0.35">
      <c r="A10" s="1" t="s">
        <v>92</v>
      </c>
      <c r="B10" s="1" t="s">
        <v>96</v>
      </c>
      <c r="C10" s="1" t="s">
        <v>98</v>
      </c>
      <c r="D10" s="1">
        <v>10000</v>
      </c>
      <c r="E10" s="1">
        <f t="shared" si="0"/>
        <v>250</v>
      </c>
      <c r="F10" s="1">
        <f t="shared" si="1"/>
        <v>350</v>
      </c>
      <c r="G10" s="1">
        <f t="shared" si="2"/>
        <v>150</v>
      </c>
      <c r="H10" s="1">
        <f t="shared" si="3"/>
        <v>10750</v>
      </c>
      <c r="I10" s="1" t="str">
        <f t="shared" si="4"/>
        <v>B</v>
      </c>
    </row>
    <row r="11" spans="1:9" x14ac:dyDescent="0.35">
      <c r="A11" s="1" t="s">
        <v>93</v>
      </c>
      <c r="B11" s="1" t="s">
        <v>96</v>
      </c>
      <c r="C11" s="1" t="s">
        <v>101</v>
      </c>
      <c r="D11" s="1">
        <v>5000</v>
      </c>
      <c r="E11" s="1">
        <f t="shared" si="0"/>
        <v>125</v>
      </c>
      <c r="F11" s="1">
        <f t="shared" si="1"/>
        <v>175</v>
      </c>
      <c r="G11" s="1">
        <f t="shared" si="2"/>
        <v>75</v>
      </c>
      <c r="H11" s="1">
        <f t="shared" si="3"/>
        <v>5375</v>
      </c>
      <c r="I11" s="1" t="str">
        <f t="shared" si="4"/>
        <v>C</v>
      </c>
    </row>
    <row r="13" spans="1:9" x14ac:dyDescent="0.35">
      <c r="A13" t="s">
        <v>106</v>
      </c>
    </row>
    <row r="14" spans="1:9" x14ac:dyDescent="0.35">
      <c r="A14" t="s">
        <v>107</v>
      </c>
      <c r="C14">
        <f>COUNTIF(B3:B11,"COMPUTER")</f>
        <v>3</v>
      </c>
    </row>
    <row r="15" spans="1:9" x14ac:dyDescent="0.35">
      <c r="A15" t="s">
        <v>108</v>
      </c>
      <c r="C15">
        <f>COUNTIF(B4:B11,"FINANCE")</f>
        <v>2</v>
      </c>
    </row>
    <row r="16" spans="1:9" x14ac:dyDescent="0.35">
      <c r="A16" t="s">
        <v>95</v>
      </c>
      <c r="C16">
        <f>COUNTIF(B4:B11,"ELECTRICAL")</f>
        <v>3</v>
      </c>
    </row>
    <row r="17" spans="1:7" x14ac:dyDescent="0.35">
      <c r="A17" t="s">
        <v>109</v>
      </c>
    </row>
    <row r="18" spans="1:7" x14ac:dyDescent="0.35">
      <c r="A18" t="s">
        <v>110</v>
      </c>
      <c r="B18">
        <f>SUMIF(B4:B11,"COMPUTER",D4:D11)</f>
        <v>16000</v>
      </c>
    </row>
    <row r="19" spans="1:7" x14ac:dyDescent="0.35">
      <c r="A19" t="s">
        <v>111</v>
      </c>
    </row>
    <row r="20" spans="1:7" x14ac:dyDescent="0.35">
      <c r="A20" t="s">
        <v>114</v>
      </c>
      <c r="C20" t="str">
        <f>VLOOKUP(A6,A3:H11,3,FALSE)</f>
        <v>PION</v>
      </c>
      <c r="E20" t="s">
        <v>116</v>
      </c>
      <c r="G20" t="str">
        <f>VLOOKUP(A10,A3:H11,3,FALSE)</f>
        <v>MANAGER</v>
      </c>
    </row>
    <row r="21" spans="1:7" x14ac:dyDescent="0.35">
      <c r="A21" t="s">
        <v>115</v>
      </c>
      <c r="C21" t="str">
        <f>VLOOKUP(A6,A3:I11,9,FALSE)</f>
        <v>C</v>
      </c>
      <c r="E21" t="s">
        <v>117</v>
      </c>
      <c r="G21" t="str">
        <f>VLOOKUP(A10,A3:I11,9,FALSE)</f>
        <v>B</v>
      </c>
    </row>
    <row r="22" spans="1:7" x14ac:dyDescent="0.35">
      <c r="A22" t="s">
        <v>118</v>
      </c>
    </row>
    <row r="23" spans="1:7" x14ac:dyDescent="0.35">
      <c r="A23" t="s">
        <v>119</v>
      </c>
    </row>
    <row r="24" spans="1:7" x14ac:dyDescent="0.35">
      <c r="A24" t="s">
        <v>120</v>
      </c>
      <c r="C24">
        <f>COUNTIF(C4:C11,"MANAGER")</f>
        <v>2</v>
      </c>
    </row>
    <row r="25" spans="1:7" x14ac:dyDescent="0.35">
      <c r="A25" t="s">
        <v>121</v>
      </c>
      <c r="C25">
        <f>COUNTIF(C4:C11,"GUARD")</f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AA902-77ED-4F87-9B85-B06CD7DAEB69}">
  <dimension ref="A1:J27"/>
  <sheetViews>
    <sheetView topLeftCell="A22" workbookViewId="0">
      <selection activeCell="B27" sqref="B27"/>
    </sheetView>
  </sheetViews>
  <sheetFormatPr defaultRowHeight="14.5" x14ac:dyDescent="0.35"/>
  <cols>
    <col min="1" max="1" width="11.1796875" customWidth="1"/>
    <col min="3" max="3" width="11.26953125" customWidth="1"/>
    <col min="9" max="9" width="11.90625" customWidth="1"/>
    <col min="10" max="10" width="14.90625" customWidth="1"/>
  </cols>
  <sheetData>
    <row r="1" spans="1:10" x14ac:dyDescent="0.35">
      <c r="A1" s="18" t="s">
        <v>122</v>
      </c>
      <c r="B1" s="18"/>
      <c r="C1" s="18"/>
      <c r="D1" s="18"/>
      <c r="E1" s="18"/>
      <c r="F1" s="18"/>
      <c r="G1" s="18"/>
      <c r="H1" s="18"/>
      <c r="I1" s="18"/>
      <c r="J1" s="18"/>
    </row>
    <row r="3" spans="1:10" x14ac:dyDescent="0.35">
      <c r="A3" t="s">
        <v>123</v>
      </c>
      <c r="B3" t="s">
        <v>130</v>
      </c>
      <c r="C3" t="s">
        <v>131</v>
      </c>
      <c r="D3" t="s">
        <v>132</v>
      </c>
      <c r="E3" t="s">
        <v>133</v>
      </c>
      <c r="F3" t="s">
        <v>134</v>
      </c>
      <c r="G3" t="s">
        <v>135</v>
      </c>
      <c r="H3" t="s">
        <v>136</v>
      </c>
      <c r="I3" t="s">
        <v>137</v>
      </c>
      <c r="J3" t="s">
        <v>138</v>
      </c>
    </row>
    <row r="4" spans="1:10" x14ac:dyDescent="0.35">
      <c r="A4" t="s">
        <v>124</v>
      </c>
      <c r="B4">
        <v>2000</v>
      </c>
      <c r="C4">
        <v>1500</v>
      </c>
      <c r="D4">
        <v>300</v>
      </c>
      <c r="E4">
        <v>1400</v>
      </c>
      <c r="F4">
        <v>1000</v>
      </c>
      <c r="G4">
        <v>1400</v>
      </c>
      <c r="H4">
        <f>SUM(B4:G4)</f>
        <v>7600</v>
      </c>
      <c r="I4">
        <v>10000</v>
      </c>
      <c r="J4" t="str">
        <f>IF(H4&gt;I4,"Target Achived","Not Achived")</f>
        <v>Not Achived</v>
      </c>
    </row>
    <row r="5" spans="1:10" x14ac:dyDescent="0.35">
      <c r="A5" t="s">
        <v>91</v>
      </c>
      <c r="B5">
        <v>5000</v>
      </c>
      <c r="C5">
        <v>1200</v>
      </c>
      <c r="D5">
        <v>500</v>
      </c>
      <c r="E5">
        <v>1200</v>
      </c>
      <c r="F5">
        <v>1200</v>
      </c>
      <c r="G5">
        <v>2800</v>
      </c>
      <c r="H5">
        <f t="shared" ref="H5:H14" si="0">SUM(B5:G5)</f>
        <v>11900</v>
      </c>
      <c r="I5">
        <v>12000</v>
      </c>
      <c r="J5" t="str">
        <f t="shared" ref="J5:J14" si="1">IF(H5&gt;I5,"Target Achived","Not Achived")</f>
        <v>Not Achived</v>
      </c>
    </row>
    <row r="6" spans="1:10" x14ac:dyDescent="0.35">
      <c r="A6" t="s">
        <v>90</v>
      </c>
      <c r="B6">
        <v>3000</v>
      </c>
      <c r="C6">
        <v>800</v>
      </c>
      <c r="D6">
        <v>1200</v>
      </c>
      <c r="E6">
        <v>3000</v>
      </c>
      <c r="F6">
        <v>1500</v>
      </c>
      <c r="G6">
        <v>3500</v>
      </c>
      <c r="H6">
        <f t="shared" si="0"/>
        <v>13000</v>
      </c>
      <c r="I6">
        <v>18000</v>
      </c>
      <c r="J6" t="str">
        <f t="shared" si="1"/>
        <v>Not Achived</v>
      </c>
    </row>
    <row r="7" spans="1:10" x14ac:dyDescent="0.35">
      <c r="A7" t="s">
        <v>10</v>
      </c>
      <c r="B7">
        <v>1000</v>
      </c>
      <c r="C7">
        <v>900</v>
      </c>
      <c r="D7">
        <v>1800</v>
      </c>
      <c r="E7">
        <v>5000</v>
      </c>
      <c r="F7">
        <v>1400</v>
      </c>
      <c r="G7">
        <v>1200</v>
      </c>
      <c r="H7">
        <f t="shared" si="0"/>
        <v>11300</v>
      </c>
      <c r="I7">
        <v>10000</v>
      </c>
      <c r="J7" t="str">
        <f t="shared" si="1"/>
        <v>Target Achived</v>
      </c>
    </row>
    <row r="8" spans="1:10" x14ac:dyDescent="0.35">
      <c r="A8" t="s">
        <v>7</v>
      </c>
      <c r="B8">
        <v>500</v>
      </c>
      <c r="C8">
        <v>1000</v>
      </c>
      <c r="D8">
        <v>2300</v>
      </c>
      <c r="E8">
        <v>8000</v>
      </c>
      <c r="F8">
        <v>1700</v>
      </c>
      <c r="G8">
        <v>1400</v>
      </c>
      <c r="H8">
        <f t="shared" si="0"/>
        <v>14900</v>
      </c>
      <c r="I8">
        <v>12000</v>
      </c>
      <c r="J8" t="str">
        <f t="shared" si="1"/>
        <v>Target Achived</v>
      </c>
    </row>
    <row r="9" spans="1:10" x14ac:dyDescent="0.35">
      <c r="A9" t="s">
        <v>6</v>
      </c>
      <c r="B9">
        <v>800</v>
      </c>
      <c r="C9">
        <v>500</v>
      </c>
      <c r="D9">
        <v>2400</v>
      </c>
      <c r="E9">
        <v>1900</v>
      </c>
      <c r="F9">
        <v>1800</v>
      </c>
      <c r="G9">
        <v>1800</v>
      </c>
      <c r="H9">
        <f t="shared" si="0"/>
        <v>9200</v>
      </c>
      <c r="I9">
        <v>10000</v>
      </c>
      <c r="J9" t="str">
        <f t="shared" si="1"/>
        <v>Not Achived</v>
      </c>
    </row>
    <row r="10" spans="1:10" x14ac:dyDescent="0.35">
      <c r="A10" t="s">
        <v>125</v>
      </c>
      <c r="B10">
        <v>1200</v>
      </c>
      <c r="C10">
        <v>1400</v>
      </c>
      <c r="D10">
        <v>1500</v>
      </c>
      <c r="E10">
        <v>700</v>
      </c>
      <c r="F10">
        <v>2500</v>
      </c>
      <c r="G10">
        <v>7000</v>
      </c>
      <c r="H10">
        <f t="shared" si="0"/>
        <v>14300</v>
      </c>
      <c r="I10">
        <v>12000</v>
      </c>
      <c r="J10" t="str">
        <f t="shared" si="1"/>
        <v>Target Achived</v>
      </c>
    </row>
    <row r="11" spans="1:10" x14ac:dyDescent="0.35">
      <c r="A11" t="s">
        <v>126</v>
      </c>
      <c r="B11">
        <v>1500</v>
      </c>
      <c r="C11">
        <v>1800</v>
      </c>
      <c r="D11">
        <v>1800</v>
      </c>
      <c r="E11">
        <v>1800</v>
      </c>
      <c r="F11">
        <v>300</v>
      </c>
      <c r="G11">
        <v>1500</v>
      </c>
      <c r="H11">
        <f t="shared" si="0"/>
        <v>8700</v>
      </c>
      <c r="I11">
        <v>10000</v>
      </c>
      <c r="J11" t="str">
        <f t="shared" si="1"/>
        <v>Not Achived</v>
      </c>
    </row>
    <row r="12" spans="1:10" x14ac:dyDescent="0.35">
      <c r="A12" t="s">
        <v>127</v>
      </c>
      <c r="B12">
        <v>1800</v>
      </c>
      <c r="C12">
        <v>2500</v>
      </c>
      <c r="D12">
        <v>1700</v>
      </c>
      <c r="E12">
        <v>1500</v>
      </c>
      <c r="F12">
        <v>2800</v>
      </c>
      <c r="G12">
        <v>1800</v>
      </c>
      <c r="H12">
        <f t="shared" si="0"/>
        <v>12100</v>
      </c>
      <c r="I12">
        <v>12000</v>
      </c>
      <c r="J12" t="str">
        <f t="shared" si="1"/>
        <v>Target Achived</v>
      </c>
    </row>
    <row r="13" spans="1:10" x14ac:dyDescent="0.35">
      <c r="A13" t="s">
        <v>128</v>
      </c>
      <c r="B13">
        <v>200</v>
      </c>
      <c r="C13">
        <v>3000</v>
      </c>
      <c r="D13">
        <v>1900</v>
      </c>
      <c r="E13">
        <v>1200</v>
      </c>
      <c r="F13">
        <v>1500</v>
      </c>
      <c r="G13">
        <v>3000</v>
      </c>
      <c r="H13">
        <f t="shared" si="0"/>
        <v>10800</v>
      </c>
      <c r="I13">
        <v>10000</v>
      </c>
      <c r="J13" t="str">
        <f t="shared" si="1"/>
        <v>Target Achived</v>
      </c>
    </row>
    <row r="14" spans="1:10" x14ac:dyDescent="0.35">
      <c r="A14" t="s">
        <v>129</v>
      </c>
      <c r="B14">
        <v>1600</v>
      </c>
      <c r="C14">
        <v>1200</v>
      </c>
      <c r="D14">
        <v>2000</v>
      </c>
      <c r="E14">
        <v>800</v>
      </c>
      <c r="F14">
        <v>1700</v>
      </c>
      <c r="G14">
        <v>800</v>
      </c>
      <c r="H14">
        <f t="shared" si="0"/>
        <v>8100</v>
      </c>
      <c r="I14">
        <v>10000</v>
      </c>
      <c r="J14" t="str">
        <f t="shared" si="1"/>
        <v>Not Achived</v>
      </c>
    </row>
    <row r="16" spans="1:10" x14ac:dyDescent="0.35">
      <c r="A16" t="s">
        <v>139</v>
      </c>
    </row>
    <row r="17" spans="1:10" x14ac:dyDescent="0.35">
      <c r="A17" t="s">
        <v>56</v>
      </c>
      <c r="B17">
        <f>COUNTA(A4:A14)</f>
        <v>11</v>
      </c>
      <c r="D17" t="s">
        <v>140</v>
      </c>
      <c r="F17">
        <f>VLOOKUP(A10,A3:I14,9,FALSE)</f>
        <v>12000</v>
      </c>
      <c r="H17" t="s">
        <v>141</v>
      </c>
      <c r="J17" t="str">
        <f>VLOOKUP(A10,A3:J14,10,FALSE)</f>
        <v>Target Achived</v>
      </c>
    </row>
    <row r="18" spans="1:10" x14ac:dyDescent="0.35">
      <c r="A18" t="s">
        <v>142</v>
      </c>
    </row>
    <row r="19" spans="1:10" x14ac:dyDescent="0.35">
      <c r="A19" t="s">
        <v>143</v>
      </c>
    </row>
    <row r="20" spans="1:10" x14ac:dyDescent="0.35">
      <c r="A20" t="s">
        <v>56</v>
      </c>
      <c r="B20" t="s">
        <v>144</v>
      </c>
      <c r="E20" t="s">
        <v>147</v>
      </c>
      <c r="H20" t="s">
        <v>148</v>
      </c>
    </row>
    <row r="21" spans="1:10" x14ac:dyDescent="0.35">
      <c r="B21" t="s">
        <v>145</v>
      </c>
      <c r="C21">
        <f>VLOOKUP(A6,A3:J14,9,FALSE)</f>
        <v>18000</v>
      </c>
      <c r="E21" t="s">
        <v>145</v>
      </c>
      <c r="F21">
        <f>VLOOKUP(A7,A3:J14,9,FALSE)</f>
        <v>10000</v>
      </c>
      <c r="H21" t="s">
        <v>145</v>
      </c>
      <c r="I21">
        <f>VLOOKUP(A9,A3:J14,9,FALSE)</f>
        <v>10000</v>
      </c>
    </row>
    <row r="22" spans="1:10" x14ac:dyDescent="0.35">
      <c r="B22" t="s">
        <v>146</v>
      </c>
      <c r="C22" t="str">
        <f>VLOOKUP(A6,A3:J14,10,FALSE)</f>
        <v>Not Achived</v>
      </c>
      <c r="E22" t="s">
        <v>146</v>
      </c>
      <c r="F22" t="str">
        <f>VLOOKUP(A7,A3:J14,10,FALSE)</f>
        <v>Target Achived</v>
      </c>
      <c r="H22" t="s">
        <v>146</v>
      </c>
      <c r="I22" t="str">
        <f>VLOOKUP(A9,A3:J14,10,FALSE)</f>
        <v>Not Achived</v>
      </c>
    </row>
    <row r="23" spans="1:10" x14ac:dyDescent="0.35">
      <c r="A23" t="s">
        <v>149</v>
      </c>
    </row>
    <row r="24" spans="1:10" x14ac:dyDescent="0.35">
      <c r="A24" t="s">
        <v>56</v>
      </c>
      <c r="B24">
        <f>COUNTIF(J4:J14,"Target Achived")</f>
        <v>5</v>
      </c>
    </row>
    <row r="25" spans="1:10" x14ac:dyDescent="0.35">
      <c r="A25" t="s">
        <v>150</v>
      </c>
    </row>
    <row r="26" spans="1:10" x14ac:dyDescent="0.35">
      <c r="A26" t="s">
        <v>56</v>
      </c>
      <c r="B26" t="e" cm="1">
        <f t="array" ref="B26">_xlfn.XLOOKUP(1,(B3:B14=2000)*(C4:C14=2500),A4:A14,"Not Found",0,)</f>
        <v>#VALUE!</v>
      </c>
    </row>
    <row r="27" spans="1:10" x14ac:dyDescent="0.35">
      <c r="B27" t="s">
        <v>151</v>
      </c>
    </row>
  </sheetData>
  <mergeCells count="1">
    <mergeCell ref="A1:J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AA2B3-50F4-4661-9405-752A0A622BB0}">
  <dimension ref="A1:H40"/>
  <sheetViews>
    <sheetView topLeftCell="A20" zoomScale="81" zoomScaleNormal="100" workbookViewId="0">
      <selection activeCell="C41" sqref="C41"/>
    </sheetView>
  </sheetViews>
  <sheetFormatPr defaultRowHeight="14.5" x14ac:dyDescent="0.35"/>
  <cols>
    <col min="2" max="2" width="20.54296875" customWidth="1"/>
    <col min="4" max="4" width="10.54296875" customWidth="1"/>
    <col min="5" max="5" width="14.1796875" customWidth="1"/>
    <col min="6" max="6" width="13.08984375" customWidth="1"/>
    <col min="7" max="7" width="13.36328125" customWidth="1"/>
  </cols>
  <sheetData>
    <row r="1" spans="1:8" x14ac:dyDescent="0.35">
      <c r="A1" t="s">
        <v>152</v>
      </c>
    </row>
    <row r="3" spans="1:8" x14ac:dyDescent="0.35">
      <c r="A3" s="1" t="s">
        <v>153</v>
      </c>
      <c r="B3" s="1" t="s">
        <v>159</v>
      </c>
      <c r="C3" s="1" t="s">
        <v>160</v>
      </c>
      <c r="D3" s="3" t="s">
        <v>168</v>
      </c>
      <c r="E3" s="3" t="s">
        <v>169</v>
      </c>
      <c r="F3" s="3" t="s">
        <v>170</v>
      </c>
      <c r="G3" s="3" t="s">
        <v>171</v>
      </c>
      <c r="H3" s="3" t="s">
        <v>172</v>
      </c>
    </row>
    <row r="4" spans="1:8" x14ac:dyDescent="0.35">
      <c r="A4" s="1" t="s">
        <v>154</v>
      </c>
      <c r="B4" s="2">
        <v>42370</v>
      </c>
      <c r="C4" s="1">
        <v>800</v>
      </c>
      <c r="D4" t="b">
        <f>C4&gt;500</f>
        <v>1</v>
      </c>
      <c r="E4" t="b">
        <f>C4&lt;2000</f>
        <v>1</v>
      </c>
      <c r="F4" t="b">
        <f>AND(D4,E4)</f>
        <v>1</v>
      </c>
      <c r="G4" t="b">
        <f>AND(C4&gt;500,C4&lt;2000)</f>
        <v>1</v>
      </c>
      <c r="H4" t="b">
        <f>AND(AND(C4&gt;500,C4&lt;2000),A4="TYRES")</f>
        <v>0</v>
      </c>
    </row>
    <row r="5" spans="1:8" x14ac:dyDescent="0.35">
      <c r="A5" s="1" t="s">
        <v>155</v>
      </c>
      <c r="B5" s="2">
        <v>42502</v>
      </c>
      <c r="C5" s="1">
        <v>2000</v>
      </c>
      <c r="D5" t="b">
        <f t="shared" ref="D5:D22" si="0">C5&gt;500</f>
        <v>1</v>
      </c>
      <c r="E5" t="b">
        <f t="shared" ref="E5:E22" si="1">C5&lt;2000</f>
        <v>0</v>
      </c>
      <c r="F5" t="b">
        <f t="shared" ref="F5:F22" si="2">AND(D5,E5)</f>
        <v>0</v>
      </c>
      <c r="G5" t="b">
        <f t="shared" ref="G5:G22" si="3">AND(C5&gt;500,C5&lt;2000)</f>
        <v>0</v>
      </c>
      <c r="H5" t="b">
        <f t="shared" ref="H5:H22" si="4">AND(AND(C5&gt;500,C5&lt;2000),A5="TYRES")</f>
        <v>0</v>
      </c>
    </row>
    <row r="6" spans="1:8" x14ac:dyDescent="0.35">
      <c r="A6" s="1" t="s">
        <v>154</v>
      </c>
      <c r="B6" s="2">
        <v>42508</v>
      </c>
      <c r="C6" s="1">
        <v>500</v>
      </c>
      <c r="D6" t="b">
        <f t="shared" si="0"/>
        <v>0</v>
      </c>
      <c r="E6" t="b">
        <f t="shared" si="1"/>
        <v>1</v>
      </c>
      <c r="F6" t="b">
        <f t="shared" si="2"/>
        <v>0</v>
      </c>
      <c r="G6" t="b">
        <f t="shared" si="3"/>
        <v>0</v>
      </c>
      <c r="H6" t="b">
        <f t="shared" si="4"/>
        <v>0</v>
      </c>
    </row>
    <row r="7" spans="1:8" x14ac:dyDescent="0.35">
      <c r="A7" s="1" t="s">
        <v>156</v>
      </c>
      <c r="B7" s="2">
        <v>42510</v>
      </c>
      <c r="C7" s="1">
        <v>800</v>
      </c>
      <c r="D7" t="b">
        <f t="shared" si="0"/>
        <v>1</v>
      </c>
      <c r="E7" t="b">
        <f t="shared" si="1"/>
        <v>1</v>
      </c>
      <c r="F7" t="b">
        <f t="shared" si="2"/>
        <v>1</v>
      </c>
      <c r="G7" t="b">
        <f t="shared" si="3"/>
        <v>1</v>
      </c>
      <c r="H7" t="b">
        <f t="shared" si="4"/>
        <v>0</v>
      </c>
    </row>
    <row r="8" spans="1:8" x14ac:dyDescent="0.35">
      <c r="A8" s="1" t="s">
        <v>156</v>
      </c>
      <c r="B8" s="2">
        <v>42410</v>
      </c>
      <c r="C8" s="1">
        <v>1000</v>
      </c>
      <c r="D8" t="b">
        <f t="shared" si="0"/>
        <v>1</v>
      </c>
      <c r="E8" t="b">
        <f t="shared" si="1"/>
        <v>1</v>
      </c>
      <c r="F8" t="b">
        <f t="shared" si="2"/>
        <v>1</v>
      </c>
      <c r="G8" t="b">
        <f t="shared" si="3"/>
        <v>1</v>
      </c>
      <c r="H8" t="b">
        <f t="shared" si="4"/>
        <v>0</v>
      </c>
    </row>
    <row r="9" spans="1:8" x14ac:dyDescent="0.35">
      <c r="A9" s="1" t="s">
        <v>157</v>
      </c>
      <c r="B9" s="2">
        <v>42498</v>
      </c>
      <c r="C9" s="1">
        <v>1000</v>
      </c>
      <c r="D9" t="b">
        <f t="shared" si="0"/>
        <v>1</v>
      </c>
      <c r="E9" t="b">
        <f t="shared" si="1"/>
        <v>1</v>
      </c>
      <c r="F9" t="b">
        <f t="shared" si="2"/>
        <v>1</v>
      </c>
      <c r="G9" t="b">
        <f t="shared" si="3"/>
        <v>1</v>
      </c>
      <c r="H9" t="b">
        <f t="shared" si="4"/>
        <v>0</v>
      </c>
    </row>
    <row r="10" spans="1:8" x14ac:dyDescent="0.35">
      <c r="A10" s="1" t="s">
        <v>155</v>
      </c>
      <c r="B10" s="2">
        <v>42500</v>
      </c>
      <c r="C10" s="1">
        <v>1200</v>
      </c>
      <c r="D10" t="b">
        <f t="shared" si="0"/>
        <v>1</v>
      </c>
      <c r="E10" t="b">
        <f t="shared" si="1"/>
        <v>1</v>
      </c>
      <c r="F10" t="b">
        <f t="shared" si="2"/>
        <v>1</v>
      </c>
      <c r="G10" t="b">
        <f t="shared" si="3"/>
        <v>1</v>
      </c>
      <c r="H10" t="b">
        <f t="shared" si="4"/>
        <v>1</v>
      </c>
    </row>
    <row r="11" spans="1:8" x14ac:dyDescent="0.35">
      <c r="A11" s="1" t="s">
        <v>155</v>
      </c>
      <c r="B11" s="2">
        <v>42515</v>
      </c>
      <c r="C11" s="1">
        <v>1500</v>
      </c>
      <c r="D11" t="b">
        <f t="shared" si="0"/>
        <v>1</v>
      </c>
      <c r="E11" t="b">
        <f t="shared" si="1"/>
        <v>1</v>
      </c>
      <c r="F11" t="b">
        <f t="shared" si="2"/>
        <v>1</v>
      </c>
      <c r="G11" t="b">
        <f t="shared" si="3"/>
        <v>1</v>
      </c>
      <c r="H11" t="b">
        <f t="shared" si="4"/>
        <v>1</v>
      </c>
    </row>
    <row r="12" spans="1:8" x14ac:dyDescent="0.35">
      <c r="A12" s="1" t="s">
        <v>158</v>
      </c>
      <c r="B12" s="2">
        <v>42561</v>
      </c>
      <c r="C12" s="1">
        <v>1800</v>
      </c>
      <c r="D12" t="b">
        <f t="shared" si="0"/>
        <v>1</v>
      </c>
      <c r="E12" t="b">
        <f t="shared" si="1"/>
        <v>1</v>
      </c>
      <c r="F12" t="b">
        <f t="shared" si="2"/>
        <v>1</v>
      </c>
      <c r="G12" t="b">
        <f t="shared" si="3"/>
        <v>1</v>
      </c>
      <c r="H12" t="b">
        <f t="shared" si="4"/>
        <v>0</v>
      </c>
    </row>
    <row r="13" spans="1:8" x14ac:dyDescent="0.35">
      <c r="A13" s="1" t="s">
        <v>155</v>
      </c>
      <c r="B13" s="2">
        <v>42379</v>
      </c>
      <c r="C13" s="1">
        <v>2000</v>
      </c>
      <c r="D13" t="b">
        <f t="shared" si="0"/>
        <v>1</v>
      </c>
      <c r="E13" t="b">
        <f t="shared" si="1"/>
        <v>0</v>
      </c>
      <c r="F13" t="b">
        <f t="shared" si="2"/>
        <v>0</v>
      </c>
      <c r="G13" t="b">
        <f t="shared" si="3"/>
        <v>0</v>
      </c>
      <c r="H13" t="b">
        <f t="shared" si="4"/>
        <v>0</v>
      </c>
    </row>
    <row r="14" spans="1:8" x14ac:dyDescent="0.35">
      <c r="A14" s="1" t="s">
        <v>158</v>
      </c>
      <c r="B14" s="2">
        <v>42536</v>
      </c>
      <c r="C14" s="1">
        <v>1500</v>
      </c>
      <c r="D14" t="b">
        <f t="shared" si="0"/>
        <v>1</v>
      </c>
      <c r="E14" t="b">
        <f t="shared" si="1"/>
        <v>1</v>
      </c>
      <c r="F14" t="b">
        <f t="shared" si="2"/>
        <v>1</v>
      </c>
      <c r="G14" t="b">
        <f t="shared" si="3"/>
        <v>1</v>
      </c>
      <c r="H14" t="b">
        <f t="shared" si="4"/>
        <v>0</v>
      </c>
    </row>
    <row r="15" spans="1:8" x14ac:dyDescent="0.35">
      <c r="A15" s="1" t="s">
        <v>158</v>
      </c>
      <c r="B15" s="2">
        <v>42381</v>
      </c>
      <c r="C15" s="1">
        <v>1000</v>
      </c>
      <c r="D15" t="b">
        <f t="shared" si="0"/>
        <v>1</v>
      </c>
      <c r="E15" t="b">
        <f t="shared" si="1"/>
        <v>1</v>
      </c>
      <c r="F15" t="b">
        <f t="shared" si="2"/>
        <v>1</v>
      </c>
      <c r="G15" t="b">
        <f t="shared" si="3"/>
        <v>1</v>
      </c>
      <c r="H15" t="b">
        <f t="shared" si="4"/>
        <v>0</v>
      </c>
    </row>
    <row r="16" spans="1:8" x14ac:dyDescent="0.35">
      <c r="A16" s="1" t="s">
        <v>157</v>
      </c>
      <c r="B16" s="2">
        <v>42370</v>
      </c>
      <c r="C16" s="1">
        <v>1200</v>
      </c>
      <c r="D16" t="b">
        <f t="shared" si="0"/>
        <v>1</v>
      </c>
      <c r="E16" t="b">
        <f t="shared" si="1"/>
        <v>1</v>
      </c>
      <c r="F16" t="b">
        <f t="shared" si="2"/>
        <v>1</v>
      </c>
      <c r="G16" t="b">
        <f t="shared" si="3"/>
        <v>1</v>
      </c>
      <c r="H16" t="b">
        <f t="shared" si="4"/>
        <v>0</v>
      </c>
    </row>
    <row r="17" spans="1:8" x14ac:dyDescent="0.35">
      <c r="A17" s="1" t="s">
        <v>157</v>
      </c>
      <c r="B17" s="2">
        <v>42500</v>
      </c>
      <c r="C17" s="1">
        <v>1500</v>
      </c>
      <c r="D17" t="b">
        <f t="shared" si="0"/>
        <v>1</v>
      </c>
      <c r="E17" t="b">
        <f t="shared" si="1"/>
        <v>1</v>
      </c>
      <c r="F17" t="b">
        <f t="shared" si="2"/>
        <v>1</v>
      </c>
      <c r="G17" t="b">
        <f t="shared" si="3"/>
        <v>1</v>
      </c>
      <c r="H17" t="b">
        <f t="shared" si="4"/>
        <v>0</v>
      </c>
    </row>
    <row r="18" spans="1:8" x14ac:dyDescent="0.35">
      <c r="A18" s="1" t="s">
        <v>157</v>
      </c>
      <c r="B18" s="2">
        <v>42500</v>
      </c>
      <c r="C18" s="1">
        <v>1800</v>
      </c>
      <c r="D18" t="b">
        <f t="shared" si="0"/>
        <v>1</v>
      </c>
      <c r="E18" t="b">
        <f t="shared" si="1"/>
        <v>1</v>
      </c>
      <c r="F18" t="b">
        <f t="shared" si="2"/>
        <v>1</v>
      </c>
      <c r="G18" t="b">
        <f t="shared" si="3"/>
        <v>1</v>
      </c>
      <c r="H18" t="b">
        <f t="shared" si="4"/>
        <v>0</v>
      </c>
    </row>
    <row r="19" spans="1:8" x14ac:dyDescent="0.35">
      <c r="A19" s="1" t="s">
        <v>154</v>
      </c>
      <c r="B19" s="2">
        <v>42500</v>
      </c>
      <c r="C19" s="1">
        <v>1000</v>
      </c>
      <c r="D19" t="b">
        <f t="shared" si="0"/>
        <v>1</v>
      </c>
      <c r="E19" t="b">
        <f t="shared" si="1"/>
        <v>1</v>
      </c>
      <c r="F19" t="b">
        <f t="shared" si="2"/>
        <v>1</v>
      </c>
      <c r="G19" t="b">
        <f t="shared" si="3"/>
        <v>1</v>
      </c>
      <c r="H19" t="b">
        <f t="shared" si="4"/>
        <v>0</v>
      </c>
    </row>
    <row r="20" spans="1:8" x14ac:dyDescent="0.35">
      <c r="A20" s="1" t="s">
        <v>154</v>
      </c>
      <c r="B20" s="2">
        <v>42596</v>
      </c>
      <c r="C20" s="1">
        <v>1200</v>
      </c>
      <c r="D20" t="b">
        <f t="shared" si="0"/>
        <v>1</v>
      </c>
      <c r="E20" t="b">
        <f t="shared" si="1"/>
        <v>1</v>
      </c>
      <c r="F20" t="b">
        <f t="shared" si="2"/>
        <v>1</v>
      </c>
      <c r="G20" t="b">
        <f t="shared" si="3"/>
        <v>1</v>
      </c>
      <c r="H20" t="b">
        <f t="shared" si="4"/>
        <v>0</v>
      </c>
    </row>
    <row r="21" spans="1:8" x14ac:dyDescent="0.35">
      <c r="A21" s="1" t="s">
        <v>155</v>
      </c>
      <c r="B21" s="2">
        <v>42597</v>
      </c>
      <c r="C21" s="1">
        <v>1500</v>
      </c>
      <c r="D21" t="b">
        <f t="shared" si="0"/>
        <v>1</v>
      </c>
      <c r="E21" t="b">
        <f t="shared" si="1"/>
        <v>1</v>
      </c>
      <c r="F21" t="b">
        <f t="shared" si="2"/>
        <v>1</v>
      </c>
      <c r="G21" t="b">
        <f t="shared" si="3"/>
        <v>1</v>
      </c>
      <c r="H21" t="b">
        <f t="shared" si="4"/>
        <v>1</v>
      </c>
    </row>
    <row r="22" spans="1:8" x14ac:dyDescent="0.35">
      <c r="A22" s="1" t="s">
        <v>157</v>
      </c>
      <c r="B22" s="2">
        <v>42602</v>
      </c>
      <c r="C22" s="1">
        <v>1800</v>
      </c>
      <c r="D22" t="b">
        <f t="shared" si="0"/>
        <v>1</v>
      </c>
      <c r="E22" t="b">
        <f t="shared" si="1"/>
        <v>1</v>
      </c>
      <c r="F22" t="b">
        <f t="shared" si="2"/>
        <v>1</v>
      </c>
      <c r="G22" t="b">
        <f t="shared" si="3"/>
        <v>1</v>
      </c>
      <c r="H22" t="b">
        <f t="shared" si="4"/>
        <v>0</v>
      </c>
    </row>
    <row r="24" spans="1:8" x14ac:dyDescent="0.35">
      <c r="A24" t="s">
        <v>161</v>
      </c>
    </row>
    <row r="25" spans="1:8" x14ac:dyDescent="0.35">
      <c r="A25" t="s">
        <v>56</v>
      </c>
      <c r="B25">
        <f>COUNTA(A4:A22)</f>
        <v>19</v>
      </c>
    </row>
    <row r="26" spans="1:8" x14ac:dyDescent="0.35">
      <c r="A26" t="s">
        <v>162</v>
      </c>
    </row>
    <row r="27" spans="1:8" x14ac:dyDescent="0.35">
      <c r="A27" t="s">
        <v>56</v>
      </c>
      <c r="B27" t="s">
        <v>163</v>
      </c>
      <c r="C27">
        <f>COUNTIF(A4:A22,"BREAKS")</f>
        <v>4</v>
      </c>
    </row>
    <row r="28" spans="1:8" x14ac:dyDescent="0.35">
      <c r="B28" t="s">
        <v>157</v>
      </c>
      <c r="C28">
        <f>COUNTIF(A4:A22,"WINDOW")</f>
        <v>5</v>
      </c>
    </row>
    <row r="29" spans="1:8" x14ac:dyDescent="0.35">
      <c r="B29" t="s">
        <v>155</v>
      </c>
      <c r="C29">
        <f>COUNTIF(A4:A22,"TYRES")</f>
        <v>5</v>
      </c>
    </row>
    <row r="30" spans="1:8" x14ac:dyDescent="0.35">
      <c r="A30" t="s">
        <v>164</v>
      </c>
    </row>
    <row r="31" spans="1:8" x14ac:dyDescent="0.35">
      <c r="A31" t="s">
        <v>56</v>
      </c>
      <c r="B31" t="s">
        <v>166</v>
      </c>
      <c r="D31">
        <f>COUNTIF(C4:C22,"&lt;=1000")</f>
        <v>7</v>
      </c>
    </row>
    <row r="32" spans="1:8" x14ac:dyDescent="0.35">
      <c r="B32" t="s">
        <v>165</v>
      </c>
      <c r="D32">
        <f>COUNTIF(C4:C22,"&gt;1000")</f>
        <v>12</v>
      </c>
    </row>
    <row r="33" spans="1:3" x14ac:dyDescent="0.35">
      <c r="A33" t="s">
        <v>167</v>
      </c>
    </row>
    <row r="34" spans="1:3" x14ac:dyDescent="0.35">
      <c r="A34" t="s">
        <v>173</v>
      </c>
    </row>
    <row r="35" spans="1:3" x14ac:dyDescent="0.35">
      <c r="A35" t="s">
        <v>56</v>
      </c>
      <c r="B35" t="s">
        <v>174</v>
      </c>
      <c r="C35" t="str">
        <f>HLOOKUP("Items",A3:C22,15,FALSE)</f>
        <v>WINDOW</v>
      </c>
    </row>
    <row r="36" spans="1:3" x14ac:dyDescent="0.35">
      <c r="B36" t="s">
        <v>175</v>
      </c>
      <c r="C36" t="str">
        <f>HLOOKUP("Items",A3:C22,18,FALSE)</f>
        <v>BREAKS</v>
      </c>
    </row>
    <row r="37" spans="1:3" x14ac:dyDescent="0.35">
      <c r="B37" t="s">
        <v>176</v>
      </c>
      <c r="C37" t="str">
        <f>HLOOKUP("Items",A3:C22,20,FALSE)</f>
        <v>WINDOW</v>
      </c>
    </row>
    <row r="38" spans="1:3" x14ac:dyDescent="0.35">
      <c r="A38" t="s">
        <v>177</v>
      </c>
    </row>
    <row r="39" spans="1:3" x14ac:dyDescent="0.35">
      <c r="A39" t="s">
        <v>56</v>
      </c>
      <c r="B39" t="s">
        <v>178</v>
      </c>
      <c r="C39">
        <f>SUMIF(A4:A22,"WINDOW",C4:C22)</f>
        <v>7300</v>
      </c>
    </row>
    <row r="40" spans="1:3" x14ac:dyDescent="0.35">
      <c r="B40" t="s">
        <v>179</v>
      </c>
      <c r="C40">
        <f>SUMIF(A4:A22,"BREAKS",C4:C22)</f>
        <v>3500</v>
      </c>
    </row>
  </sheetData>
  <conditionalFormatting sqref="A4:C22">
    <cfRule type="expression" dxfId="0" priority="1">
      <formula>AND(AND($C4&gt;500,$C4&lt;2000),$A4="TYRES")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93CED-890F-4277-BA7C-EBAEF55336C4}">
  <dimension ref="A1:G24"/>
  <sheetViews>
    <sheetView workbookViewId="0">
      <selection sqref="A1:G1"/>
    </sheetView>
  </sheetViews>
  <sheetFormatPr defaultRowHeight="14.5" x14ac:dyDescent="0.35"/>
  <cols>
    <col min="1" max="1" width="10.90625" customWidth="1"/>
    <col min="2" max="2" width="16.1796875" customWidth="1"/>
    <col min="5" max="5" width="10.54296875" customWidth="1"/>
    <col min="6" max="6" width="10.08984375" style="4" bestFit="1" customWidth="1"/>
    <col min="7" max="7" width="12" customWidth="1"/>
  </cols>
  <sheetData>
    <row r="1" spans="1:7" x14ac:dyDescent="0.35">
      <c r="A1" s="18" t="s">
        <v>180</v>
      </c>
      <c r="B1" s="18"/>
      <c r="C1" s="18"/>
      <c r="D1" s="18"/>
      <c r="E1" s="18"/>
      <c r="F1" s="18"/>
      <c r="G1" s="18"/>
    </row>
    <row r="3" spans="1:7" x14ac:dyDescent="0.35">
      <c r="A3" s="1" t="s">
        <v>88</v>
      </c>
      <c r="B3" s="1" t="s">
        <v>181</v>
      </c>
      <c r="C3" s="1" t="s">
        <v>182</v>
      </c>
      <c r="D3" s="1" t="s">
        <v>183</v>
      </c>
      <c r="E3" s="1" t="s">
        <v>184</v>
      </c>
      <c r="F3" s="5" t="s">
        <v>188</v>
      </c>
      <c r="G3" s="1" t="s">
        <v>191</v>
      </c>
    </row>
    <row r="4" spans="1:7" x14ac:dyDescent="0.35">
      <c r="A4" s="1" t="s">
        <v>124</v>
      </c>
      <c r="B4" s="2">
        <v>29356</v>
      </c>
      <c r="C4" s="1">
        <f>DAY(B4)</f>
        <v>15</v>
      </c>
      <c r="D4" s="1">
        <f>MONTH(B4)</f>
        <v>5</v>
      </c>
      <c r="E4" s="5">
        <f>YEAR(B4)</f>
        <v>1980</v>
      </c>
      <c r="F4" s="5">
        <f ca="1">DATEDIF(B4,TODAY(),"Y")</f>
        <v>46</v>
      </c>
      <c r="G4" s="1" t="str">
        <f ca="1">IF(F4&gt;20,"ADULT","CHILD")</f>
        <v>ADULT</v>
      </c>
    </row>
    <row r="5" spans="1:7" x14ac:dyDescent="0.35">
      <c r="A5" s="1" t="s">
        <v>91</v>
      </c>
      <c r="B5" s="2">
        <v>29818</v>
      </c>
      <c r="C5" s="1">
        <f t="shared" ref="C5:C14" si="0">DAY(B5)</f>
        <v>20</v>
      </c>
      <c r="D5" s="1">
        <f t="shared" ref="D5:D14" si="1">MONTH(B5)</f>
        <v>8</v>
      </c>
      <c r="E5" s="5">
        <f t="shared" ref="E5:E14" si="2">YEAR(B5)</f>
        <v>1981</v>
      </c>
      <c r="F5" s="5">
        <f t="shared" ref="F5:F14" ca="1" si="3">DATEDIF(B5,TODAY(),"Y")</f>
        <v>44</v>
      </c>
      <c r="G5" s="1" t="str">
        <f t="shared" ref="G5:G14" ca="1" si="4">IF(F5&gt;20,"ADULT","CHILD")</f>
        <v>ADULT</v>
      </c>
    </row>
    <row r="6" spans="1:7" x14ac:dyDescent="0.35">
      <c r="A6" s="1" t="s">
        <v>90</v>
      </c>
      <c r="B6" s="2">
        <v>37909</v>
      </c>
      <c r="C6" s="1">
        <f t="shared" si="0"/>
        <v>15</v>
      </c>
      <c r="D6" s="1">
        <f t="shared" si="1"/>
        <v>10</v>
      </c>
      <c r="E6" s="5">
        <f t="shared" si="2"/>
        <v>2003</v>
      </c>
      <c r="F6" s="5">
        <f t="shared" ca="1" si="3"/>
        <v>22</v>
      </c>
      <c r="G6" s="1" t="str">
        <f t="shared" ca="1" si="4"/>
        <v>ADULT</v>
      </c>
    </row>
    <row r="7" spans="1:7" x14ac:dyDescent="0.35">
      <c r="A7" s="1" t="s">
        <v>10</v>
      </c>
      <c r="B7" s="2">
        <v>33018</v>
      </c>
      <c r="C7" s="1">
        <f t="shared" si="0"/>
        <v>25</v>
      </c>
      <c r="D7" s="1">
        <f t="shared" si="1"/>
        <v>5</v>
      </c>
      <c r="E7" s="5">
        <f t="shared" si="2"/>
        <v>1990</v>
      </c>
      <c r="F7" s="5">
        <f t="shared" ca="1" si="3"/>
        <v>36</v>
      </c>
      <c r="G7" s="1" t="str">
        <f t="shared" ca="1" si="4"/>
        <v>ADULT</v>
      </c>
    </row>
    <row r="8" spans="1:7" x14ac:dyDescent="0.35">
      <c r="A8" s="1" t="s">
        <v>7</v>
      </c>
      <c r="B8" s="2">
        <v>33840</v>
      </c>
      <c r="C8" s="1">
        <f t="shared" si="0"/>
        <v>24</v>
      </c>
      <c r="D8" s="1">
        <f t="shared" si="1"/>
        <v>8</v>
      </c>
      <c r="E8" s="5">
        <f t="shared" si="2"/>
        <v>1992</v>
      </c>
      <c r="F8" s="5">
        <f t="shared" ca="1" si="3"/>
        <v>33</v>
      </c>
      <c r="G8" s="1" t="str">
        <f t="shared" ca="1" si="4"/>
        <v>ADULT</v>
      </c>
    </row>
    <row r="9" spans="1:7" x14ac:dyDescent="0.35">
      <c r="A9" s="1" t="s">
        <v>6</v>
      </c>
      <c r="B9" s="2">
        <v>36030</v>
      </c>
      <c r="C9" s="1">
        <f t="shared" si="0"/>
        <v>23</v>
      </c>
      <c r="D9" s="1">
        <f t="shared" si="1"/>
        <v>8</v>
      </c>
      <c r="E9" s="5">
        <f t="shared" si="2"/>
        <v>1998</v>
      </c>
      <c r="F9" s="5">
        <f t="shared" ca="1" si="3"/>
        <v>27</v>
      </c>
      <c r="G9" s="1" t="str">
        <f t="shared" ca="1" si="4"/>
        <v>ADULT</v>
      </c>
    </row>
    <row r="10" spans="1:7" x14ac:dyDescent="0.35">
      <c r="A10" s="1" t="s">
        <v>125</v>
      </c>
      <c r="B10" s="2">
        <v>29353</v>
      </c>
      <c r="C10" s="1">
        <f t="shared" si="0"/>
        <v>12</v>
      </c>
      <c r="D10" s="1">
        <f t="shared" si="1"/>
        <v>5</v>
      </c>
      <c r="E10" s="5">
        <f t="shared" si="2"/>
        <v>1980</v>
      </c>
      <c r="F10" s="5">
        <f t="shared" ca="1" si="3"/>
        <v>46</v>
      </c>
      <c r="G10" s="1" t="str">
        <f t="shared" ca="1" si="4"/>
        <v>ADULT</v>
      </c>
    </row>
    <row r="11" spans="1:7" x14ac:dyDescent="0.35">
      <c r="A11" s="1" t="s">
        <v>126</v>
      </c>
      <c r="B11" s="2">
        <v>38429</v>
      </c>
      <c r="C11" s="1">
        <f t="shared" si="0"/>
        <v>18</v>
      </c>
      <c r="D11" s="1">
        <f t="shared" si="1"/>
        <v>3</v>
      </c>
      <c r="E11" s="5">
        <f t="shared" si="2"/>
        <v>2005</v>
      </c>
      <c r="F11" s="5">
        <f t="shared" ca="1" si="3"/>
        <v>21</v>
      </c>
      <c r="G11" s="1" t="str">
        <f t="shared" ca="1" si="4"/>
        <v>ADULT</v>
      </c>
    </row>
    <row r="12" spans="1:7" x14ac:dyDescent="0.35">
      <c r="A12" s="1" t="s">
        <v>127</v>
      </c>
      <c r="B12" s="2">
        <v>39309</v>
      </c>
      <c r="C12" s="1">
        <f t="shared" si="0"/>
        <v>15</v>
      </c>
      <c r="D12" s="1">
        <f t="shared" si="1"/>
        <v>8</v>
      </c>
      <c r="E12" s="5">
        <f t="shared" si="2"/>
        <v>2007</v>
      </c>
      <c r="F12" s="5">
        <f t="shared" ca="1" si="3"/>
        <v>18</v>
      </c>
      <c r="G12" s="1" t="str">
        <f t="shared" ca="1" si="4"/>
        <v>CHILD</v>
      </c>
    </row>
    <row r="13" spans="1:7" x14ac:dyDescent="0.35">
      <c r="A13" s="1" t="s">
        <v>128</v>
      </c>
      <c r="B13" s="2">
        <v>40323</v>
      </c>
      <c r="C13" s="1">
        <f t="shared" si="0"/>
        <v>25</v>
      </c>
      <c r="D13" s="1">
        <f t="shared" si="1"/>
        <v>5</v>
      </c>
      <c r="E13" s="5">
        <f t="shared" si="2"/>
        <v>2010</v>
      </c>
      <c r="F13" s="5">
        <f t="shared" ca="1" si="3"/>
        <v>16</v>
      </c>
      <c r="G13" s="1" t="str">
        <f t="shared" ca="1" si="4"/>
        <v>CHILD</v>
      </c>
    </row>
    <row r="14" spans="1:7" x14ac:dyDescent="0.35">
      <c r="A14" s="1" t="s">
        <v>129</v>
      </c>
      <c r="B14" s="2">
        <v>34206</v>
      </c>
      <c r="C14" s="1">
        <f t="shared" si="0"/>
        <v>25</v>
      </c>
      <c r="D14" s="1">
        <f t="shared" si="1"/>
        <v>8</v>
      </c>
      <c r="E14" s="5">
        <f t="shared" si="2"/>
        <v>1993</v>
      </c>
      <c r="F14" s="5">
        <f t="shared" ca="1" si="3"/>
        <v>32</v>
      </c>
      <c r="G14" s="1" t="str">
        <f t="shared" ca="1" si="4"/>
        <v>ADULT</v>
      </c>
    </row>
    <row r="16" spans="1:7" x14ac:dyDescent="0.35">
      <c r="A16" t="s">
        <v>185</v>
      </c>
    </row>
    <row r="17" spans="1:2" x14ac:dyDescent="0.35">
      <c r="A17" t="s">
        <v>56</v>
      </c>
      <c r="B17">
        <f>COUNTA(A4:A14)</f>
        <v>11</v>
      </c>
    </row>
    <row r="18" spans="1:2" x14ac:dyDescent="0.35">
      <c r="A18" t="s">
        <v>186</v>
      </c>
    </row>
    <row r="19" spans="1:2" x14ac:dyDescent="0.35">
      <c r="A19" t="s">
        <v>56</v>
      </c>
      <c r="B19" s="4">
        <f ca="1">F13</f>
        <v>16</v>
      </c>
    </row>
    <row r="20" spans="1:2" x14ac:dyDescent="0.35">
      <c r="A20" t="s">
        <v>187</v>
      </c>
    </row>
    <row r="21" spans="1:2" x14ac:dyDescent="0.35">
      <c r="A21" t="s">
        <v>56</v>
      </c>
      <c r="B21">
        <f ca="1">COUNTIF(F4:F14,"&gt;20")</f>
        <v>9</v>
      </c>
    </row>
    <row r="22" spans="1:2" x14ac:dyDescent="0.35">
      <c r="A22" t="s">
        <v>189</v>
      </c>
    </row>
    <row r="23" spans="1:2" x14ac:dyDescent="0.35">
      <c r="A23" t="s">
        <v>190</v>
      </c>
    </row>
    <row r="24" spans="1:2" x14ac:dyDescent="0.35">
      <c r="A24" t="s">
        <v>56</v>
      </c>
      <c r="B24">
        <f ca="1">COUNTIF(F4:F14,"&gt;=25")</f>
        <v>7</v>
      </c>
    </row>
  </sheetData>
  <mergeCells count="1">
    <mergeCell ref="A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29F0B-8946-47F2-9BCC-EFBCC2647886}">
  <dimension ref="A1:G26"/>
  <sheetViews>
    <sheetView workbookViewId="0">
      <selection activeCell="J11" sqref="J11"/>
    </sheetView>
  </sheetViews>
  <sheetFormatPr defaultRowHeight="14.5" x14ac:dyDescent="0.35"/>
  <cols>
    <col min="1" max="1" width="14.36328125" customWidth="1"/>
    <col min="2" max="2" width="15.6328125" customWidth="1"/>
    <col min="6" max="6" width="10.08984375" customWidth="1"/>
  </cols>
  <sheetData>
    <row r="1" spans="1:7" x14ac:dyDescent="0.35">
      <c r="A1" s="18" t="s">
        <v>192</v>
      </c>
      <c r="B1" s="18"/>
      <c r="C1" s="18"/>
      <c r="D1" s="18"/>
      <c r="E1" s="18"/>
      <c r="F1" s="18"/>
      <c r="G1" s="18"/>
    </row>
    <row r="3" spans="1:7" x14ac:dyDescent="0.35">
      <c r="A3" s="1" t="s">
        <v>193</v>
      </c>
      <c r="B3" s="19" t="s">
        <v>205</v>
      </c>
      <c r="C3" s="19"/>
      <c r="D3" s="19"/>
      <c r="E3" s="19" t="s">
        <v>146</v>
      </c>
      <c r="F3" s="19"/>
      <c r="G3" s="19"/>
    </row>
    <row r="4" spans="1:7" x14ac:dyDescent="0.35">
      <c r="A4" s="1" t="s">
        <v>194</v>
      </c>
      <c r="B4" s="1" t="s">
        <v>206</v>
      </c>
      <c r="C4" s="1" t="s">
        <v>16</v>
      </c>
      <c r="D4" s="1" t="s">
        <v>18</v>
      </c>
      <c r="E4" s="1" t="s">
        <v>20</v>
      </c>
      <c r="F4" s="1" t="s">
        <v>209</v>
      </c>
      <c r="G4" s="1" t="s">
        <v>24</v>
      </c>
    </row>
    <row r="5" spans="1:7" x14ac:dyDescent="0.35">
      <c r="A5" s="1" t="s">
        <v>195</v>
      </c>
      <c r="B5" s="1">
        <v>80</v>
      </c>
      <c r="C5" s="1">
        <v>75</v>
      </c>
      <c r="D5" s="1">
        <v>85</v>
      </c>
      <c r="E5" s="1">
        <f>SUM(B5:D5)</f>
        <v>240</v>
      </c>
      <c r="F5" s="6">
        <f>E5/300</f>
        <v>0.8</v>
      </c>
      <c r="G5" s="1" t="str">
        <f>IF(F5&gt;70%,"Excelent",IF(F5&gt;50%,"Good","Bed"))</f>
        <v>Excelent</v>
      </c>
    </row>
    <row r="6" spans="1:7" x14ac:dyDescent="0.35">
      <c r="A6" s="1" t="s">
        <v>196</v>
      </c>
      <c r="B6" s="1">
        <v>50</v>
      </c>
      <c r="C6" s="1">
        <v>30</v>
      </c>
      <c r="D6" s="1">
        <v>40</v>
      </c>
      <c r="E6" s="1">
        <f t="shared" ref="E6:E14" si="0">SUM(B6:D6)</f>
        <v>120</v>
      </c>
      <c r="F6" s="6">
        <f t="shared" ref="F6:F14" si="1">E6/300</f>
        <v>0.4</v>
      </c>
      <c r="G6" s="1" t="str">
        <f t="shared" ref="G6:G14" si="2">IF(F6&gt;70%,"Excelent",IF(F6&gt;50%,"Good","Bed"))</f>
        <v>Bed</v>
      </c>
    </row>
    <row r="7" spans="1:7" x14ac:dyDescent="0.35">
      <c r="A7" s="1" t="s">
        <v>197</v>
      </c>
      <c r="B7" s="1">
        <v>60</v>
      </c>
      <c r="C7" s="1">
        <v>70</v>
      </c>
      <c r="D7" s="1" t="s">
        <v>207</v>
      </c>
      <c r="E7" s="1">
        <f t="shared" si="0"/>
        <v>130</v>
      </c>
      <c r="F7" s="6">
        <f t="shared" si="1"/>
        <v>0.43333333333333335</v>
      </c>
      <c r="G7" s="1" t="str">
        <f t="shared" si="2"/>
        <v>Bed</v>
      </c>
    </row>
    <row r="8" spans="1:7" x14ac:dyDescent="0.35">
      <c r="A8" s="1" t="s">
        <v>198</v>
      </c>
      <c r="B8" s="1">
        <v>90</v>
      </c>
      <c r="C8" s="1">
        <v>85</v>
      </c>
      <c r="D8" s="1">
        <v>95</v>
      </c>
      <c r="E8" s="1">
        <f t="shared" si="0"/>
        <v>270</v>
      </c>
      <c r="F8" s="6">
        <f t="shared" si="1"/>
        <v>0.9</v>
      </c>
      <c r="G8" s="1" t="str">
        <f t="shared" si="2"/>
        <v>Excelent</v>
      </c>
    </row>
    <row r="9" spans="1:7" x14ac:dyDescent="0.35">
      <c r="A9" s="1" t="s">
        <v>199</v>
      </c>
      <c r="B9" s="1">
        <v>20</v>
      </c>
      <c r="C9" s="1">
        <v>30</v>
      </c>
      <c r="D9" s="1" t="s">
        <v>208</v>
      </c>
      <c r="E9" s="1">
        <f t="shared" si="0"/>
        <v>50</v>
      </c>
      <c r="F9" s="6">
        <f t="shared" si="1"/>
        <v>0.16666666666666666</v>
      </c>
      <c r="G9" s="1" t="str">
        <f t="shared" si="2"/>
        <v>Bed</v>
      </c>
    </row>
    <row r="10" spans="1:7" x14ac:dyDescent="0.35">
      <c r="A10" s="1" t="s">
        <v>200</v>
      </c>
      <c r="B10" s="1">
        <v>40</v>
      </c>
      <c r="C10" s="1">
        <v>60</v>
      </c>
      <c r="D10" s="1">
        <v>80</v>
      </c>
      <c r="E10" s="1">
        <f t="shared" si="0"/>
        <v>180</v>
      </c>
      <c r="F10" s="6">
        <f t="shared" si="1"/>
        <v>0.6</v>
      </c>
      <c r="G10" s="1" t="str">
        <f t="shared" si="2"/>
        <v>Good</v>
      </c>
    </row>
    <row r="11" spans="1:7" x14ac:dyDescent="0.35">
      <c r="A11" s="1" t="s">
        <v>201</v>
      </c>
      <c r="B11" s="1">
        <v>10</v>
      </c>
      <c r="C11" s="1">
        <v>90</v>
      </c>
      <c r="D11" s="1">
        <v>80</v>
      </c>
      <c r="E11" s="1">
        <f t="shared" si="0"/>
        <v>180</v>
      </c>
      <c r="F11" s="6">
        <f t="shared" si="1"/>
        <v>0.6</v>
      </c>
      <c r="G11" s="1" t="str">
        <f t="shared" si="2"/>
        <v>Good</v>
      </c>
    </row>
    <row r="12" spans="1:7" x14ac:dyDescent="0.35">
      <c r="A12" s="1" t="s">
        <v>202</v>
      </c>
      <c r="B12" s="1">
        <v>80</v>
      </c>
      <c r="C12" s="1">
        <v>70</v>
      </c>
      <c r="D12" s="1">
        <v>60</v>
      </c>
      <c r="E12" s="1">
        <f t="shared" si="0"/>
        <v>210</v>
      </c>
      <c r="F12" s="6">
        <f t="shared" si="1"/>
        <v>0.7</v>
      </c>
      <c r="G12" s="1" t="str">
        <f t="shared" si="2"/>
        <v>Good</v>
      </c>
    </row>
    <row r="13" spans="1:7" x14ac:dyDescent="0.35">
      <c r="A13" s="1" t="s">
        <v>203</v>
      </c>
      <c r="B13" s="1">
        <v>30</v>
      </c>
      <c r="C13" s="1">
        <v>10</v>
      </c>
      <c r="D13" s="1">
        <v>20</v>
      </c>
      <c r="E13" s="1">
        <f t="shared" si="0"/>
        <v>60</v>
      </c>
      <c r="F13" s="6">
        <f t="shared" si="1"/>
        <v>0.2</v>
      </c>
      <c r="G13" s="1" t="str">
        <f t="shared" si="2"/>
        <v>Bed</v>
      </c>
    </row>
    <row r="14" spans="1:7" x14ac:dyDescent="0.35">
      <c r="A14" s="1" t="s">
        <v>204</v>
      </c>
      <c r="B14" s="1">
        <v>10</v>
      </c>
      <c r="C14" s="1">
        <v>20</v>
      </c>
      <c r="D14" s="1">
        <v>30</v>
      </c>
      <c r="E14" s="1">
        <f t="shared" si="0"/>
        <v>60</v>
      </c>
      <c r="F14" s="6">
        <f t="shared" si="1"/>
        <v>0.2</v>
      </c>
      <c r="G14" s="1" t="str">
        <f t="shared" si="2"/>
        <v>Bed</v>
      </c>
    </row>
    <row r="16" spans="1:7" x14ac:dyDescent="0.35">
      <c r="A16" t="s">
        <v>210</v>
      </c>
    </row>
    <row r="17" spans="1:3" x14ac:dyDescent="0.35">
      <c r="A17" t="s">
        <v>110</v>
      </c>
      <c r="B17">
        <f>COUNTA(A5:A14)</f>
        <v>10</v>
      </c>
    </row>
    <row r="18" spans="1:3" x14ac:dyDescent="0.35">
      <c r="A18" t="s">
        <v>211</v>
      </c>
    </row>
    <row r="19" spans="1:3" x14ac:dyDescent="0.35">
      <c r="A19" t="s">
        <v>56</v>
      </c>
      <c r="B19">
        <f>COUNTIF(F5:F14,"&gt;50%")</f>
        <v>5</v>
      </c>
    </row>
    <row r="20" spans="1:3" x14ac:dyDescent="0.35">
      <c r="A20" t="s">
        <v>212</v>
      </c>
    </row>
    <row r="21" spans="1:3" x14ac:dyDescent="0.35">
      <c r="A21" t="s">
        <v>56</v>
      </c>
      <c r="B21" t="s">
        <v>213</v>
      </c>
      <c r="C21">
        <f>E6</f>
        <v>120</v>
      </c>
    </row>
    <row r="22" spans="1:3" x14ac:dyDescent="0.35">
      <c r="B22" t="s">
        <v>214</v>
      </c>
      <c r="C22">
        <f>E9</f>
        <v>50</v>
      </c>
    </row>
    <row r="23" spans="1:3" x14ac:dyDescent="0.35">
      <c r="A23" t="s">
        <v>215</v>
      </c>
    </row>
    <row r="24" spans="1:3" x14ac:dyDescent="0.35">
      <c r="A24" t="s">
        <v>216</v>
      </c>
    </row>
    <row r="25" spans="1:3" x14ac:dyDescent="0.35">
      <c r="A25" t="s">
        <v>56</v>
      </c>
      <c r="B25" t="s">
        <v>217</v>
      </c>
      <c r="C25">
        <f>COUNTIF(G5:G14,"Good")</f>
        <v>3</v>
      </c>
    </row>
    <row r="26" spans="1:3" x14ac:dyDescent="0.35">
      <c r="B26" t="s">
        <v>218</v>
      </c>
      <c r="C26">
        <f>COUNTIF(G5:G14,"Bed")</f>
        <v>5</v>
      </c>
    </row>
  </sheetData>
  <mergeCells count="3">
    <mergeCell ref="B3:D3"/>
    <mergeCell ref="E3:G3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862EB-9EC7-49EC-BCC5-1E6EC010608D}">
  <dimension ref="A1:H16"/>
  <sheetViews>
    <sheetView workbookViewId="0">
      <selection activeCell="A2" sqref="A2"/>
    </sheetView>
  </sheetViews>
  <sheetFormatPr defaultRowHeight="14.5" x14ac:dyDescent="0.35"/>
  <cols>
    <col min="1" max="1" width="12" customWidth="1"/>
    <col min="2" max="2" width="11" customWidth="1"/>
    <col min="3" max="3" width="10.26953125" customWidth="1"/>
    <col min="5" max="5" width="12.08984375" customWidth="1"/>
    <col min="6" max="6" width="12.08984375" style="7" customWidth="1"/>
  </cols>
  <sheetData>
    <row r="1" spans="1:8" x14ac:dyDescent="0.35">
      <c r="A1" s="18" t="s">
        <v>219</v>
      </c>
      <c r="B1" s="18"/>
      <c r="C1" s="18"/>
      <c r="D1" s="18"/>
      <c r="E1" s="18"/>
      <c r="F1" s="18"/>
      <c r="G1" s="18"/>
      <c r="H1" s="18"/>
    </row>
    <row r="3" spans="1:8" x14ac:dyDescent="0.35">
      <c r="A3" t="s">
        <v>220</v>
      </c>
      <c r="B3" t="s">
        <v>221</v>
      </c>
      <c r="C3" t="s">
        <v>234</v>
      </c>
      <c r="E3" t="s">
        <v>220</v>
      </c>
      <c r="F3" s="7" t="s">
        <v>246</v>
      </c>
      <c r="G3" t="s">
        <v>260</v>
      </c>
      <c r="H3" t="s">
        <v>261</v>
      </c>
    </row>
    <row r="4" spans="1:8" x14ac:dyDescent="0.35">
      <c r="A4">
        <v>110608</v>
      </c>
      <c r="B4" t="s">
        <v>222</v>
      </c>
      <c r="C4" t="s">
        <v>235</v>
      </c>
      <c r="E4">
        <v>602693</v>
      </c>
      <c r="F4" s="8" t="s">
        <v>247</v>
      </c>
      <c r="G4" t="str">
        <f>VLOOKUP(E4,$A$4:$C$16,3,FALSE)</f>
        <v>Micheal</v>
      </c>
      <c r="H4" t="str">
        <f>VLOOKUP(E4,$A$4:$C$16,2,FALSE)</f>
        <v>Vick</v>
      </c>
    </row>
    <row r="5" spans="1:8" x14ac:dyDescent="0.35">
      <c r="A5">
        <v>253072</v>
      </c>
      <c r="B5" t="s">
        <v>223</v>
      </c>
      <c r="C5" t="s">
        <v>236</v>
      </c>
      <c r="E5">
        <v>611810</v>
      </c>
      <c r="F5" s="8" t="s">
        <v>248</v>
      </c>
      <c r="G5" t="str">
        <f t="shared" ref="G5:G16" si="0">VLOOKUP(E5,$A$4:$C$16,3,FALSE)</f>
        <v>Tiger</v>
      </c>
      <c r="H5" t="str">
        <f t="shared" ref="H5:H16" si="1">VLOOKUP(E5,$A$4:$C$16,2,FALSE)</f>
        <v>Woods</v>
      </c>
    </row>
    <row r="6" spans="1:8" x14ac:dyDescent="0.35">
      <c r="A6">
        <v>352711</v>
      </c>
      <c r="B6" t="s">
        <v>224</v>
      </c>
      <c r="C6" t="s">
        <v>235</v>
      </c>
      <c r="E6">
        <v>549457</v>
      </c>
      <c r="F6" s="8" t="s">
        <v>249</v>
      </c>
      <c r="G6" t="str">
        <f t="shared" si="0"/>
        <v>John</v>
      </c>
      <c r="H6" t="str">
        <f t="shared" si="1"/>
        <v>Elway</v>
      </c>
    </row>
    <row r="7" spans="1:8" x14ac:dyDescent="0.35">
      <c r="A7">
        <v>391006</v>
      </c>
      <c r="B7" t="s">
        <v>225</v>
      </c>
      <c r="C7" t="s">
        <v>237</v>
      </c>
      <c r="E7">
        <v>612235</v>
      </c>
      <c r="F7" s="8" t="s">
        <v>250</v>
      </c>
      <c r="G7" t="str">
        <f t="shared" si="0"/>
        <v>Micheal</v>
      </c>
      <c r="H7" t="str">
        <f t="shared" si="1"/>
        <v>Jordan</v>
      </c>
    </row>
    <row r="8" spans="1:8" x14ac:dyDescent="0.35">
      <c r="A8">
        <v>392128</v>
      </c>
      <c r="B8" t="s">
        <v>226</v>
      </c>
      <c r="C8" t="s">
        <v>238</v>
      </c>
      <c r="E8">
        <v>580622</v>
      </c>
      <c r="F8" s="8" t="s">
        <v>251</v>
      </c>
      <c r="G8" t="str">
        <f t="shared" si="0"/>
        <v>Eli</v>
      </c>
      <c r="H8" t="str">
        <f t="shared" si="1"/>
        <v>Manning</v>
      </c>
    </row>
    <row r="9" spans="1:8" x14ac:dyDescent="0.35">
      <c r="A9">
        <v>549457</v>
      </c>
      <c r="B9" t="s">
        <v>227</v>
      </c>
      <c r="C9" t="s">
        <v>235</v>
      </c>
      <c r="E9">
        <v>830385</v>
      </c>
      <c r="F9" s="8" t="s">
        <v>252</v>
      </c>
      <c r="G9" t="str">
        <f t="shared" si="0"/>
        <v>Prience</v>
      </c>
      <c r="H9" t="str">
        <f t="shared" si="1"/>
        <v>Williams</v>
      </c>
    </row>
    <row r="10" spans="1:8" x14ac:dyDescent="0.35">
      <c r="A10">
        <v>580622</v>
      </c>
      <c r="B10" t="s">
        <v>228</v>
      </c>
      <c r="C10" t="s">
        <v>239</v>
      </c>
      <c r="E10">
        <v>253072</v>
      </c>
      <c r="F10" s="8" t="s">
        <v>253</v>
      </c>
      <c r="G10" t="str">
        <f t="shared" si="0"/>
        <v>Andy</v>
      </c>
      <c r="H10" t="str">
        <f t="shared" si="1"/>
        <v>Cline</v>
      </c>
    </row>
    <row r="11" spans="1:8" x14ac:dyDescent="0.35">
      <c r="A11">
        <v>602693</v>
      </c>
      <c r="B11" t="s">
        <v>229</v>
      </c>
      <c r="C11" t="s">
        <v>240</v>
      </c>
      <c r="E11">
        <v>391006</v>
      </c>
      <c r="F11" s="8" t="s">
        <v>254</v>
      </c>
      <c r="G11" t="str">
        <f t="shared" si="0"/>
        <v>Peter</v>
      </c>
      <c r="H11" t="str">
        <f t="shared" si="1"/>
        <v>Pan</v>
      </c>
    </row>
    <row r="12" spans="1:8" x14ac:dyDescent="0.35">
      <c r="A12">
        <v>611810</v>
      </c>
      <c r="B12" t="s">
        <v>230</v>
      </c>
      <c r="C12" t="s">
        <v>241</v>
      </c>
      <c r="E12">
        <v>990678</v>
      </c>
      <c r="F12" s="8" t="s">
        <v>255</v>
      </c>
      <c r="G12" t="str">
        <f t="shared" si="0"/>
        <v>Brad</v>
      </c>
      <c r="H12" t="str">
        <f t="shared" si="1"/>
        <v>Pitt</v>
      </c>
    </row>
    <row r="13" spans="1:8" x14ac:dyDescent="0.35">
      <c r="A13">
        <v>612235</v>
      </c>
      <c r="B13" t="s">
        <v>231</v>
      </c>
      <c r="C13" t="s">
        <v>240</v>
      </c>
      <c r="E13">
        <v>795574</v>
      </c>
      <c r="F13" s="8" t="s">
        <v>256</v>
      </c>
      <c r="G13" t="str">
        <f t="shared" si="0"/>
        <v>Tony</v>
      </c>
      <c r="H13" t="str">
        <f t="shared" si="1"/>
        <v>Stark</v>
      </c>
    </row>
    <row r="14" spans="1:8" x14ac:dyDescent="0.35">
      <c r="A14">
        <v>795574</v>
      </c>
      <c r="B14" t="s">
        <v>232</v>
      </c>
      <c r="C14" t="s">
        <v>242</v>
      </c>
      <c r="E14">
        <v>392128</v>
      </c>
      <c r="F14" s="8" t="s">
        <v>257</v>
      </c>
      <c r="G14" t="str">
        <f t="shared" si="0"/>
        <v>Bret</v>
      </c>
      <c r="H14" t="str">
        <f t="shared" si="1"/>
        <v>Favre</v>
      </c>
    </row>
    <row r="15" spans="1:8" x14ac:dyDescent="0.35">
      <c r="A15">
        <v>830385</v>
      </c>
      <c r="B15" t="s">
        <v>233</v>
      </c>
      <c r="C15" t="s">
        <v>243</v>
      </c>
      <c r="E15">
        <v>352711</v>
      </c>
      <c r="F15" s="8" t="s">
        <v>258</v>
      </c>
      <c r="G15" t="str">
        <f t="shared" si="0"/>
        <v>John</v>
      </c>
      <c r="H15" t="str">
        <f t="shared" si="1"/>
        <v>Smith</v>
      </c>
    </row>
    <row r="16" spans="1:8" x14ac:dyDescent="0.35">
      <c r="A16">
        <v>990678</v>
      </c>
      <c r="B16" t="s">
        <v>244</v>
      </c>
      <c r="C16" t="s">
        <v>245</v>
      </c>
      <c r="E16">
        <v>110608</v>
      </c>
      <c r="F16" s="8" t="s">
        <v>259</v>
      </c>
      <c r="G16" t="str">
        <f t="shared" si="0"/>
        <v>John</v>
      </c>
      <c r="H16" t="str">
        <f t="shared" si="1"/>
        <v>Doe</v>
      </c>
    </row>
  </sheetData>
  <mergeCells count="1"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1C23C-C2FE-4903-9BBF-3812006739B6}">
  <dimension ref="A1:F30"/>
  <sheetViews>
    <sheetView topLeftCell="A13" workbookViewId="0">
      <selection activeCell="B31" sqref="B31"/>
    </sheetView>
  </sheetViews>
  <sheetFormatPr defaultRowHeight="14.5" x14ac:dyDescent="0.35"/>
  <cols>
    <col min="1" max="1" width="12" customWidth="1"/>
    <col min="2" max="2" width="18.1796875" customWidth="1"/>
    <col min="3" max="3" width="13" customWidth="1"/>
    <col min="4" max="4" width="17.08984375" customWidth="1"/>
    <col min="5" max="5" width="12.26953125" customWidth="1"/>
    <col min="6" max="6" width="16" customWidth="1"/>
  </cols>
  <sheetData>
    <row r="1" spans="1:6" x14ac:dyDescent="0.35">
      <c r="A1" t="s">
        <v>262</v>
      </c>
    </row>
    <row r="3" spans="1:6" x14ac:dyDescent="0.35">
      <c r="A3" t="s">
        <v>220</v>
      </c>
      <c r="B3" t="s">
        <v>277</v>
      </c>
      <c r="C3" t="s">
        <v>292</v>
      </c>
      <c r="D3" t="s">
        <v>307</v>
      </c>
      <c r="E3" t="s">
        <v>313</v>
      </c>
      <c r="F3" t="s">
        <v>314</v>
      </c>
    </row>
    <row r="4" spans="1:6" x14ac:dyDescent="0.35">
      <c r="A4" t="s">
        <v>263</v>
      </c>
      <c r="B4" t="s">
        <v>278</v>
      </c>
      <c r="C4" t="s">
        <v>293</v>
      </c>
      <c r="D4" t="s">
        <v>308</v>
      </c>
      <c r="E4" s="9">
        <v>39474</v>
      </c>
      <c r="F4" s="10">
        <v>73500</v>
      </c>
    </row>
    <row r="5" spans="1:6" x14ac:dyDescent="0.35">
      <c r="A5" t="s">
        <v>264</v>
      </c>
      <c r="B5" t="s">
        <v>279</v>
      </c>
      <c r="C5" t="s">
        <v>294</v>
      </c>
      <c r="D5" t="s">
        <v>309</v>
      </c>
      <c r="E5" s="9">
        <v>39508</v>
      </c>
      <c r="F5" s="10">
        <v>80000</v>
      </c>
    </row>
    <row r="6" spans="1:6" x14ac:dyDescent="0.35">
      <c r="A6" t="s">
        <v>265</v>
      </c>
      <c r="B6" t="s">
        <v>280</v>
      </c>
      <c r="C6" t="s">
        <v>295</v>
      </c>
      <c r="D6" t="s">
        <v>308</v>
      </c>
      <c r="E6" s="9">
        <v>39554</v>
      </c>
      <c r="F6" s="10">
        <v>95000</v>
      </c>
    </row>
    <row r="7" spans="1:6" x14ac:dyDescent="0.35">
      <c r="A7" t="s">
        <v>266</v>
      </c>
      <c r="B7" t="s">
        <v>281</v>
      </c>
      <c r="C7" t="s">
        <v>296</v>
      </c>
      <c r="D7" t="s">
        <v>308</v>
      </c>
      <c r="E7" s="9">
        <v>39571</v>
      </c>
      <c r="F7" s="10">
        <v>105000</v>
      </c>
    </row>
    <row r="8" spans="1:6" x14ac:dyDescent="0.35">
      <c r="A8" t="s">
        <v>267</v>
      </c>
      <c r="B8" t="s">
        <v>282</v>
      </c>
      <c r="C8" t="s">
        <v>297</v>
      </c>
      <c r="D8" t="s">
        <v>310</v>
      </c>
      <c r="E8" s="9">
        <v>39640</v>
      </c>
      <c r="F8" s="10">
        <v>90000</v>
      </c>
    </row>
    <row r="9" spans="1:6" x14ac:dyDescent="0.35">
      <c r="A9" t="s">
        <v>268</v>
      </c>
      <c r="B9" t="s">
        <v>283</v>
      </c>
      <c r="C9" t="s">
        <v>298</v>
      </c>
      <c r="D9" t="s">
        <v>311</v>
      </c>
      <c r="E9" s="9">
        <v>39646</v>
      </c>
      <c r="F9" s="10">
        <v>60000</v>
      </c>
    </row>
    <row r="10" spans="1:6" x14ac:dyDescent="0.35">
      <c r="A10" t="s">
        <v>269</v>
      </c>
      <c r="B10" t="s">
        <v>284</v>
      </c>
      <c r="C10" t="s">
        <v>299</v>
      </c>
      <c r="D10" t="s">
        <v>311</v>
      </c>
      <c r="E10" s="9">
        <v>39726</v>
      </c>
      <c r="F10" s="10">
        <v>87000</v>
      </c>
    </row>
    <row r="11" spans="1:6" x14ac:dyDescent="0.35">
      <c r="A11" t="s">
        <v>270</v>
      </c>
      <c r="B11" t="s">
        <v>285</v>
      </c>
      <c r="C11" t="s">
        <v>300</v>
      </c>
      <c r="D11" t="s">
        <v>310</v>
      </c>
      <c r="E11" s="9">
        <v>39749</v>
      </c>
      <c r="F11" s="10">
        <v>104000</v>
      </c>
    </row>
    <row r="12" spans="1:6" x14ac:dyDescent="0.35">
      <c r="A12" t="s">
        <v>271</v>
      </c>
      <c r="B12" t="s">
        <v>286</v>
      </c>
      <c r="C12" t="s">
        <v>301</v>
      </c>
      <c r="D12" t="s">
        <v>308</v>
      </c>
      <c r="E12" s="9">
        <v>39757</v>
      </c>
      <c r="F12" s="10">
        <v>380050</v>
      </c>
    </row>
    <row r="13" spans="1:6" x14ac:dyDescent="0.35">
      <c r="A13" t="s">
        <v>272</v>
      </c>
      <c r="B13" t="s">
        <v>287</v>
      </c>
      <c r="C13" t="s">
        <v>302</v>
      </c>
      <c r="D13" t="s">
        <v>308</v>
      </c>
      <c r="E13" s="9">
        <v>39791</v>
      </c>
      <c r="F13" s="10">
        <v>93000</v>
      </c>
    </row>
    <row r="14" spans="1:6" x14ac:dyDescent="0.35">
      <c r="A14" t="s">
        <v>273</v>
      </c>
      <c r="B14" t="s">
        <v>288</v>
      </c>
      <c r="C14" t="s">
        <v>303</v>
      </c>
      <c r="D14" t="s">
        <v>309</v>
      </c>
      <c r="E14" s="9">
        <v>39856</v>
      </c>
      <c r="F14" s="10">
        <v>180000</v>
      </c>
    </row>
    <row r="15" spans="1:6" x14ac:dyDescent="0.35">
      <c r="A15" t="s">
        <v>274</v>
      </c>
      <c r="B15" t="s">
        <v>289</v>
      </c>
      <c r="C15" t="s">
        <v>304</v>
      </c>
      <c r="D15" t="s">
        <v>308</v>
      </c>
      <c r="E15" s="9">
        <v>39891</v>
      </c>
      <c r="F15" s="10">
        <v>100000</v>
      </c>
    </row>
    <row r="16" spans="1:6" x14ac:dyDescent="0.35">
      <c r="A16" t="s">
        <v>275</v>
      </c>
      <c r="B16" t="s">
        <v>290</v>
      </c>
      <c r="C16" t="s">
        <v>305</v>
      </c>
      <c r="D16" t="s">
        <v>312</v>
      </c>
      <c r="E16" s="9">
        <v>39916</v>
      </c>
      <c r="F16" s="10">
        <v>136000</v>
      </c>
    </row>
    <row r="17" spans="1:6" x14ac:dyDescent="0.35">
      <c r="A17" t="s">
        <v>276</v>
      </c>
      <c r="B17" t="s">
        <v>291</v>
      </c>
      <c r="C17" t="s">
        <v>306</v>
      </c>
      <c r="D17" t="s">
        <v>308</v>
      </c>
      <c r="E17" s="9">
        <v>39931</v>
      </c>
      <c r="F17" s="10">
        <v>68000</v>
      </c>
    </row>
    <row r="19" spans="1:6" x14ac:dyDescent="0.35">
      <c r="A19" t="s">
        <v>315</v>
      </c>
    </row>
    <row r="20" spans="1:6" x14ac:dyDescent="0.35">
      <c r="A20" t="s">
        <v>56</v>
      </c>
      <c r="B20">
        <f>COUNTA(A4:A17)</f>
        <v>14</v>
      </c>
    </row>
    <row r="21" spans="1:6" x14ac:dyDescent="0.35">
      <c r="A21" t="s">
        <v>316</v>
      </c>
    </row>
    <row r="22" spans="1:6" x14ac:dyDescent="0.35">
      <c r="A22" t="s">
        <v>317</v>
      </c>
      <c r="B22" t="s">
        <v>311</v>
      </c>
      <c r="C22">
        <f>COUNTIF(D4:D17,"Finance")</f>
        <v>2</v>
      </c>
    </row>
    <row r="23" spans="1:6" x14ac:dyDescent="0.35">
      <c r="B23" t="s">
        <v>308</v>
      </c>
      <c r="C23">
        <f>COUNTIF(D4:D17,"Marketing")</f>
        <v>7</v>
      </c>
    </row>
    <row r="24" spans="1:6" x14ac:dyDescent="0.35">
      <c r="A24" t="s">
        <v>318</v>
      </c>
    </row>
    <row r="25" spans="1:6" x14ac:dyDescent="0.35">
      <c r="A25" t="s">
        <v>56</v>
      </c>
      <c r="B25" t="s">
        <v>307</v>
      </c>
      <c r="C25" t="str">
        <f>_xlfn.XLOOKUP(B8,B4:B17,D4:D17,,0,)</f>
        <v>Engineering</v>
      </c>
    </row>
    <row r="26" spans="1:6" x14ac:dyDescent="0.35">
      <c r="B26" t="s">
        <v>314</v>
      </c>
      <c r="C26">
        <f>_xlfn.XLOOKUP(B8,B4:B17,F4:F17,,0,)</f>
        <v>90000</v>
      </c>
    </row>
    <row r="27" spans="1:6" x14ac:dyDescent="0.35">
      <c r="A27" t="s">
        <v>319</v>
      </c>
    </row>
    <row r="28" spans="1:6" x14ac:dyDescent="0.35">
      <c r="A28" t="s">
        <v>56</v>
      </c>
      <c r="B28" t="str">
        <f>_xlfn.XLOOKUP(B8,B4:B17,C4:C17,,0,)</f>
        <v>245-18-5890</v>
      </c>
    </row>
    <row r="29" spans="1:6" x14ac:dyDescent="0.35">
      <c r="A29" t="s">
        <v>320</v>
      </c>
    </row>
    <row r="30" spans="1:6" x14ac:dyDescent="0.35">
      <c r="A30" t="s">
        <v>110</v>
      </c>
      <c r="B30">
        <f>SUMIF(D4:D17,"Marketing",F4:F17)</f>
        <v>914550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77375-8235-4C53-8430-2BB4090F787E}">
  <dimension ref="A1:D21"/>
  <sheetViews>
    <sheetView topLeftCell="A9" workbookViewId="0">
      <selection activeCell="D22" sqref="D22"/>
    </sheetView>
  </sheetViews>
  <sheetFormatPr defaultRowHeight="14.5" x14ac:dyDescent="0.35"/>
  <cols>
    <col min="1" max="1" width="20.54296875" customWidth="1"/>
    <col min="2" max="2" width="13.54296875" customWidth="1"/>
  </cols>
  <sheetData>
    <row r="1" spans="1:4" x14ac:dyDescent="0.35">
      <c r="A1" t="s">
        <v>321</v>
      </c>
    </row>
    <row r="3" spans="1:4" x14ac:dyDescent="0.35">
      <c r="A3" t="s">
        <v>322</v>
      </c>
      <c r="B3" t="s">
        <v>332</v>
      </c>
      <c r="C3" t="s">
        <v>333</v>
      </c>
      <c r="D3" t="s">
        <v>334</v>
      </c>
    </row>
    <row r="4" spans="1:4" x14ac:dyDescent="0.35">
      <c r="A4" t="s">
        <v>323</v>
      </c>
      <c r="B4" s="11">
        <v>2.95</v>
      </c>
      <c r="C4" s="11">
        <v>3.75</v>
      </c>
      <c r="D4" s="11">
        <v>4.1500000000000004</v>
      </c>
    </row>
    <row r="5" spans="1:4" x14ac:dyDescent="0.35">
      <c r="A5" t="s">
        <v>324</v>
      </c>
      <c r="B5" s="11">
        <v>2.95</v>
      </c>
      <c r="C5" s="11">
        <v>3.65</v>
      </c>
      <c r="D5" s="11">
        <v>4.1500000000000004</v>
      </c>
    </row>
    <row r="6" spans="1:4" x14ac:dyDescent="0.35">
      <c r="A6" t="s">
        <v>325</v>
      </c>
      <c r="B6" s="11">
        <v>3.75</v>
      </c>
      <c r="C6" s="11">
        <v>3.95</v>
      </c>
      <c r="D6" s="11">
        <v>4.25</v>
      </c>
    </row>
    <row r="7" spans="1:4" x14ac:dyDescent="0.35">
      <c r="A7" t="s">
        <v>326</v>
      </c>
      <c r="B7" s="11">
        <v>3.25</v>
      </c>
      <c r="C7" s="11">
        <v>3.95</v>
      </c>
      <c r="D7" s="11">
        <v>4.4000000000000004</v>
      </c>
    </row>
    <row r="8" spans="1:4" x14ac:dyDescent="0.35">
      <c r="A8" t="s">
        <v>327</v>
      </c>
      <c r="B8" s="11">
        <v>3.45</v>
      </c>
      <c r="C8" s="11">
        <v>4.1500000000000004</v>
      </c>
      <c r="D8" s="11">
        <v>4.55</v>
      </c>
    </row>
    <row r="9" spans="1:4" x14ac:dyDescent="0.35">
      <c r="A9" t="s">
        <v>328</v>
      </c>
      <c r="B9" s="11">
        <v>2</v>
      </c>
      <c r="C9" s="11">
        <v>2.4</v>
      </c>
      <c r="D9" s="11">
        <v>2.75</v>
      </c>
    </row>
    <row r="10" spans="1:4" x14ac:dyDescent="0.35">
      <c r="A10" t="s">
        <v>329</v>
      </c>
      <c r="B10" s="11">
        <v>3.95</v>
      </c>
      <c r="C10" s="11">
        <v>4.75</v>
      </c>
      <c r="D10" s="11">
        <v>5.15</v>
      </c>
    </row>
    <row r="11" spans="1:4" x14ac:dyDescent="0.35">
      <c r="A11" t="s">
        <v>330</v>
      </c>
      <c r="B11" s="11">
        <v>2.25</v>
      </c>
      <c r="C11" s="11">
        <v>2.5</v>
      </c>
      <c r="D11" s="11">
        <v>2.75</v>
      </c>
    </row>
    <row r="12" spans="1:4" x14ac:dyDescent="0.35">
      <c r="A12" t="s">
        <v>331</v>
      </c>
      <c r="B12" s="11">
        <v>1.75</v>
      </c>
      <c r="C12" s="11">
        <v>1.95</v>
      </c>
      <c r="D12" s="11">
        <v>2.0499999999999998</v>
      </c>
    </row>
    <row r="14" spans="1:4" x14ac:dyDescent="0.35">
      <c r="A14" t="s">
        <v>335</v>
      </c>
    </row>
    <row r="15" spans="1:4" x14ac:dyDescent="0.35">
      <c r="A15" t="s">
        <v>110</v>
      </c>
      <c r="B15" t="s">
        <v>336</v>
      </c>
      <c r="C15">
        <f>MATCH(C3,A3:D3,0)</f>
        <v>3</v>
      </c>
    </row>
    <row r="16" spans="1:4" x14ac:dyDescent="0.35">
      <c r="B16" t="s">
        <v>337</v>
      </c>
      <c r="C16">
        <f>MATCH(B3,A3:D3,0)</f>
        <v>2</v>
      </c>
    </row>
    <row r="17" spans="1:4" x14ac:dyDescent="0.35">
      <c r="B17" t="s">
        <v>338</v>
      </c>
      <c r="C17">
        <f>MATCH(D3,A3:D3,0)</f>
        <v>4</v>
      </c>
    </row>
    <row r="18" spans="1:4" x14ac:dyDescent="0.35">
      <c r="A18" t="s">
        <v>339</v>
      </c>
    </row>
    <row r="19" spans="1:4" x14ac:dyDescent="0.35">
      <c r="A19" t="s">
        <v>110</v>
      </c>
      <c r="B19" t="s">
        <v>326</v>
      </c>
      <c r="C19" t="s">
        <v>336</v>
      </c>
      <c r="D19">
        <f>VLOOKUP(B19,A3:D12,MATCH(C3,A3:D3,0),FALSE)</f>
        <v>3.95</v>
      </c>
    </row>
    <row r="20" spans="1:4" x14ac:dyDescent="0.35">
      <c r="B20" t="s">
        <v>326</v>
      </c>
      <c r="C20" t="s">
        <v>337</v>
      </c>
      <c r="D20">
        <f>VLOOKUP(B20,A3:D12,MATCH(B3,A3:D3,0),FALSE)</f>
        <v>3.25</v>
      </c>
    </row>
    <row r="21" spans="1:4" x14ac:dyDescent="0.35">
      <c r="B21" t="s">
        <v>326</v>
      </c>
      <c r="C21" t="s">
        <v>338</v>
      </c>
      <c r="D21">
        <f>VLOOKUP(B21,A3:D12,MATCH(D3,A3:D3,0),FALSE)</f>
        <v>4.4000000000000004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2DD51-20C4-42DA-A4C1-A63C8A956BA8}">
  <dimension ref="A1:J17"/>
  <sheetViews>
    <sheetView workbookViewId="0">
      <selection activeCell="C18" sqref="C18"/>
    </sheetView>
  </sheetViews>
  <sheetFormatPr defaultRowHeight="14.5" x14ac:dyDescent="0.35"/>
  <cols>
    <col min="1" max="1" width="13.90625" customWidth="1"/>
    <col min="2" max="2" width="12.26953125" customWidth="1"/>
  </cols>
  <sheetData>
    <row r="1" spans="1:10" x14ac:dyDescent="0.35">
      <c r="A1" t="s">
        <v>340</v>
      </c>
    </row>
    <row r="3" spans="1:10" x14ac:dyDescent="0.35">
      <c r="A3" t="s">
        <v>341</v>
      </c>
      <c r="B3" t="s">
        <v>350</v>
      </c>
      <c r="C3" t="s">
        <v>351</v>
      </c>
      <c r="D3" t="s">
        <v>352</v>
      </c>
      <c r="E3" t="s">
        <v>353</v>
      </c>
      <c r="F3" t="s">
        <v>354</v>
      </c>
      <c r="G3" t="s">
        <v>355</v>
      </c>
      <c r="H3" t="s">
        <v>356</v>
      </c>
      <c r="I3" t="s">
        <v>357</v>
      </c>
      <c r="J3" t="s">
        <v>358</v>
      </c>
    </row>
    <row r="4" spans="1:10" x14ac:dyDescent="0.35">
      <c r="A4" t="s">
        <v>342</v>
      </c>
      <c r="B4" s="12">
        <v>2773</v>
      </c>
      <c r="C4" s="12">
        <v>17462</v>
      </c>
      <c r="D4" s="12">
        <v>5954</v>
      </c>
      <c r="E4" s="12">
        <v>1348</v>
      </c>
      <c r="F4" s="12">
        <v>28158</v>
      </c>
      <c r="G4" s="12">
        <v>28799</v>
      </c>
      <c r="H4" s="12">
        <v>25415</v>
      </c>
      <c r="I4" s="12">
        <v>17227</v>
      </c>
      <c r="J4" s="12">
        <f>SUM(B4:I4)</f>
        <v>127136</v>
      </c>
    </row>
    <row r="5" spans="1:10" x14ac:dyDescent="0.35">
      <c r="A5" t="s">
        <v>343</v>
      </c>
      <c r="B5" s="12">
        <v>12908</v>
      </c>
      <c r="C5" s="12">
        <v>3083</v>
      </c>
      <c r="D5" s="12">
        <v>24492</v>
      </c>
      <c r="E5" s="12">
        <v>5825</v>
      </c>
      <c r="F5" s="12">
        <v>1080</v>
      </c>
      <c r="G5" s="12">
        <v>2188</v>
      </c>
      <c r="H5" s="12">
        <v>11087</v>
      </c>
      <c r="I5" s="12">
        <v>15544</v>
      </c>
      <c r="J5" s="12">
        <f t="shared" ref="J5:J11" si="0">SUM(B5:I5)</f>
        <v>76207</v>
      </c>
    </row>
    <row r="6" spans="1:10" x14ac:dyDescent="0.35">
      <c r="A6" t="s">
        <v>344</v>
      </c>
      <c r="B6" s="12">
        <v>6554</v>
      </c>
      <c r="C6" s="12">
        <v>14262</v>
      </c>
      <c r="D6" s="12">
        <v>8377</v>
      </c>
      <c r="E6" s="12">
        <v>24982</v>
      </c>
      <c r="F6" s="12">
        <v>12184</v>
      </c>
      <c r="G6" s="12">
        <v>6430</v>
      </c>
      <c r="H6" s="12">
        <v>21159</v>
      </c>
      <c r="I6" s="12">
        <v>18597</v>
      </c>
      <c r="J6" s="12">
        <f t="shared" si="0"/>
        <v>112545</v>
      </c>
    </row>
    <row r="7" spans="1:10" x14ac:dyDescent="0.35">
      <c r="A7" t="s">
        <v>345</v>
      </c>
      <c r="B7" s="12">
        <v>28913</v>
      </c>
      <c r="C7" s="12">
        <v>1437</v>
      </c>
      <c r="D7" s="12">
        <v>20019</v>
      </c>
      <c r="E7" s="12">
        <v>13026</v>
      </c>
      <c r="F7" s="12">
        <v>26952</v>
      </c>
      <c r="G7" s="12">
        <v>27076</v>
      </c>
      <c r="H7" s="12">
        <v>7040</v>
      </c>
      <c r="I7" s="12">
        <v>10884</v>
      </c>
      <c r="J7" s="12">
        <f t="shared" si="0"/>
        <v>135347</v>
      </c>
    </row>
    <row r="8" spans="1:10" x14ac:dyDescent="0.35">
      <c r="A8" t="s">
        <v>346</v>
      </c>
      <c r="B8" s="12">
        <v>4768</v>
      </c>
      <c r="C8" s="12">
        <v>7622</v>
      </c>
      <c r="D8" s="12">
        <v>28918</v>
      </c>
      <c r="E8" s="12">
        <v>27141</v>
      </c>
      <c r="F8" s="12">
        <v>3578</v>
      </c>
      <c r="G8" s="12">
        <v>10092</v>
      </c>
      <c r="H8" s="12">
        <v>15207</v>
      </c>
      <c r="I8" s="12">
        <v>12771</v>
      </c>
      <c r="J8" s="12">
        <f t="shared" si="0"/>
        <v>110097</v>
      </c>
    </row>
    <row r="9" spans="1:10" x14ac:dyDescent="0.35">
      <c r="A9" t="s">
        <v>347</v>
      </c>
      <c r="B9" s="12">
        <v>13390</v>
      </c>
      <c r="C9" s="12">
        <v>3611</v>
      </c>
      <c r="D9" s="12">
        <v>6226</v>
      </c>
      <c r="E9" s="12">
        <v>27567</v>
      </c>
      <c r="F9" s="12">
        <v>29962</v>
      </c>
      <c r="G9" s="12">
        <v>2967</v>
      </c>
      <c r="H9" s="12">
        <v>5740</v>
      </c>
      <c r="I9" s="12">
        <v>2137</v>
      </c>
      <c r="J9" s="12">
        <f t="shared" si="0"/>
        <v>91600</v>
      </c>
    </row>
    <row r="10" spans="1:10" x14ac:dyDescent="0.35">
      <c r="A10" t="s">
        <v>348</v>
      </c>
      <c r="B10" s="12">
        <v>17585</v>
      </c>
      <c r="C10" s="12">
        <v>28508</v>
      </c>
      <c r="D10" s="12">
        <v>9614</v>
      </c>
      <c r="E10" s="12">
        <v>17110</v>
      </c>
      <c r="F10" s="12">
        <v>12143</v>
      </c>
      <c r="G10" s="12">
        <v>7365</v>
      </c>
      <c r="H10" s="12">
        <v>24185</v>
      </c>
      <c r="I10" s="12">
        <v>1643</v>
      </c>
      <c r="J10" s="12">
        <f t="shared" si="0"/>
        <v>118153</v>
      </c>
    </row>
    <row r="11" spans="1:10" x14ac:dyDescent="0.35">
      <c r="A11" t="s">
        <v>349</v>
      </c>
      <c r="B11" s="12">
        <v>22579</v>
      </c>
      <c r="C11" s="12">
        <v>16301</v>
      </c>
      <c r="D11" s="12">
        <v>6469</v>
      </c>
      <c r="E11" s="12">
        <v>22050</v>
      </c>
      <c r="F11" s="12">
        <v>8740</v>
      </c>
      <c r="G11" s="12">
        <v>18806</v>
      </c>
      <c r="H11" s="12">
        <v>3334</v>
      </c>
      <c r="I11" s="12">
        <v>3597</v>
      </c>
      <c r="J11" s="12">
        <f t="shared" si="0"/>
        <v>101876</v>
      </c>
    </row>
    <row r="13" spans="1:10" x14ac:dyDescent="0.35">
      <c r="A13" t="s">
        <v>359</v>
      </c>
    </row>
    <row r="14" spans="1:10" x14ac:dyDescent="0.35">
      <c r="A14" t="s">
        <v>56</v>
      </c>
      <c r="B14">
        <f>COUNTA(A4:A11)</f>
        <v>8</v>
      </c>
    </row>
    <row r="15" spans="1:10" x14ac:dyDescent="0.35">
      <c r="A15" t="s">
        <v>360</v>
      </c>
    </row>
    <row r="16" spans="1:10" x14ac:dyDescent="0.35">
      <c r="A16" t="s">
        <v>56</v>
      </c>
      <c r="B16" t="s">
        <v>344</v>
      </c>
      <c r="C16">
        <f>VLOOKUP(B16,A4:J11,4)</f>
        <v>8377</v>
      </c>
    </row>
    <row r="17" spans="2:3" x14ac:dyDescent="0.35">
      <c r="B17" t="s">
        <v>349</v>
      </c>
      <c r="C17">
        <f>VLOOKUP(B17,A4:J11,7)</f>
        <v>18806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985D8-7304-4B4E-9AF0-684041844602}">
  <dimension ref="A1:J17"/>
  <sheetViews>
    <sheetView workbookViewId="0">
      <selection activeCell="K17" sqref="K17"/>
    </sheetView>
  </sheetViews>
  <sheetFormatPr defaultRowHeight="14.5" x14ac:dyDescent="0.35"/>
  <cols>
    <col min="1" max="1" width="11.26953125" customWidth="1"/>
    <col min="2" max="2" width="11.453125" customWidth="1"/>
    <col min="6" max="6" width="12.36328125" bestFit="1" customWidth="1"/>
    <col min="7" max="7" width="11.453125" bestFit="1" customWidth="1"/>
    <col min="9" max="9" width="12.36328125" bestFit="1" customWidth="1"/>
    <col min="10" max="10" width="11.453125" bestFit="1" customWidth="1"/>
  </cols>
  <sheetData>
    <row r="1" spans="1:10" x14ac:dyDescent="0.35">
      <c r="A1" s="18" t="s">
        <v>361</v>
      </c>
      <c r="B1" s="18"/>
      <c r="C1" s="18"/>
      <c r="D1" s="18"/>
    </row>
    <row r="3" spans="1:10" x14ac:dyDescent="0.35">
      <c r="A3" s="1" t="s">
        <v>221</v>
      </c>
      <c r="B3" s="1" t="s">
        <v>365</v>
      </c>
      <c r="C3" s="1" t="s">
        <v>366</v>
      </c>
      <c r="D3" s="1" t="s">
        <v>369</v>
      </c>
      <c r="F3" s="14" t="s">
        <v>374</v>
      </c>
      <c r="G3" t="s">
        <v>376</v>
      </c>
      <c r="I3" s="14" t="s">
        <v>374</v>
      </c>
      <c r="J3" t="s">
        <v>376</v>
      </c>
    </row>
    <row r="4" spans="1:10" x14ac:dyDescent="0.35">
      <c r="A4" s="1" t="s">
        <v>224</v>
      </c>
      <c r="B4" s="13">
        <v>16753</v>
      </c>
      <c r="C4" s="1" t="s">
        <v>367</v>
      </c>
      <c r="D4" s="1" t="s">
        <v>370</v>
      </c>
      <c r="F4" s="15" t="s">
        <v>364</v>
      </c>
      <c r="G4" s="11">
        <v>8120</v>
      </c>
      <c r="I4" s="15" t="s">
        <v>367</v>
      </c>
      <c r="J4" s="11">
        <v>75909</v>
      </c>
    </row>
    <row r="5" spans="1:10" x14ac:dyDescent="0.35">
      <c r="A5" s="1" t="s">
        <v>362</v>
      </c>
      <c r="B5" s="13">
        <v>14808</v>
      </c>
      <c r="C5" s="1" t="s">
        <v>368</v>
      </c>
      <c r="D5" s="1" t="s">
        <v>371</v>
      </c>
      <c r="F5" s="15" t="s">
        <v>362</v>
      </c>
      <c r="G5" s="11">
        <v>24147</v>
      </c>
      <c r="I5" s="15" t="s">
        <v>368</v>
      </c>
      <c r="J5" s="11">
        <v>77015</v>
      </c>
    </row>
    <row r="6" spans="1:10" x14ac:dyDescent="0.35">
      <c r="A6" s="1" t="s">
        <v>233</v>
      </c>
      <c r="B6" s="13">
        <v>10644</v>
      </c>
      <c r="C6" s="1" t="s">
        <v>367</v>
      </c>
      <c r="D6" s="1" t="s">
        <v>372</v>
      </c>
      <c r="F6" s="15" t="s">
        <v>363</v>
      </c>
      <c r="G6" s="11">
        <v>18036</v>
      </c>
      <c r="I6" s="15" t="s">
        <v>375</v>
      </c>
      <c r="J6" s="11">
        <v>152924</v>
      </c>
    </row>
    <row r="7" spans="1:10" x14ac:dyDescent="0.35">
      <c r="A7" s="1" t="s">
        <v>363</v>
      </c>
      <c r="B7" s="13">
        <v>1390</v>
      </c>
      <c r="C7" s="1" t="s">
        <v>368</v>
      </c>
      <c r="D7" s="1" t="s">
        <v>370</v>
      </c>
      <c r="F7" s="15" t="s">
        <v>224</v>
      </c>
      <c r="G7" s="11">
        <v>45370</v>
      </c>
    </row>
    <row r="8" spans="1:10" x14ac:dyDescent="0.35">
      <c r="A8" s="1" t="s">
        <v>364</v>
      </c>
      <c r="B8" s="13">
        <v>4865</v>
      </c>
      <c r="C8" s="1" t="s">
        <v>368</v>
      </c>
      <c r="D8" s="1" t="s">
        <v>371</v>
      </c>
      <c r="F8" s="15" t="s">
        <v>233</v>
      </c>
      <c r="G8" s="11">
        <v>57251</v>
      </c>
      <c r="I8" s="14" t="s">
        <v>374</v>
      </c>
      <c r="J8" t="s">
        <v>376</v>
      </c>
    </row>
    <row r="9" spans="1:10" x14ac:dyDescent="0.35">
      <c r="A9" s="1" t="s">
        <v>233</v>
      </c>
      <c r="B9" s="13">
        <v>12438</v>
      </c>
      <c r="C9" s="1" t="s">
        <v>367</v>
      </c>
      <c r="D9" s="1" t="s">
        <v>373</v>
      </c>
      <c r="F9" s="15" t="s">
        <v>375</v>
      </c>
      <c r="G9" s="11">
        <v>152924</v>
      </c>
      <c r="I9" s="15" t="s">
        <v>373</v>
      </c>
      <c r="J9" s="11">
        <v>29569</v>
      </c>
    </row>
    <row r="10" spans="1:10" x14ac:dyDescent="0.35">
      <c r="A10" s="1" t="s">
        <v>362</v>
      </c>
      <c r="B10" s="13">
        <v>9339</v>
      </c>
      <c r="C10" s="1" t="s">
        <v>367</v>
      </c>
      <c r="D10" s="1" t="s">
        <v>372</v>
      </c>
      <c r="I10" s="15" t="s">
        <v>372</v>
      </c>
      <c r="J10" s="11">
        <v>23238</v>
      </c>
    </row>
    <row r="11" spans="1:10" x14ac:dyDescent="0.35">
      <c r="A11" s="1" t="s">
        <v>224</v>
      </c>
      <c r="B11" s="13">
        <v>18919</v>
      </c>
      <c r="C11" s="1" t="s">
        <v>368</v>
      </c>
      <c r="D11" s="1" t="s">
        <v>370</v>
      </c>
      <c r="I11" s="15" t="s">
        <v>370</v>
      </c>
      <c r="J11" s="11">
        <v>51929</v>
      </c>
    </row>
    <row r="12" spans="1:10" x14ac:dyDescent="0.35">
      <c r="A12" s="1" t="s">
        <v>363</v>
      </c>
      <c r="B12" s="13">
        <v>9213</v>
      </c>
      <c r="C12" s="1" t="s">
        <v>368</v>
      </c>
      <c r="D12" s="1" t="s">
        <v>371</v>
      </c>
      <c r="I12" s="15" t="s">
        <v>371</v>
      </c>
      <c r="J12" s="11">
        <v>48188</v>
      </c>
    </row>
    <row r="13" spans="1:10" x14ac:dyDescent="0.35">
      <c r="A13" s="1" t="s">
        <v>363</v>
      </c>
      <c r="B13" s="13">
        <v>7433</v>
      </c>
      <c r="C13" s="1" t="s">
        <v>367</v>
      </c>
      <c r="D13" s="1" t="s">
        <v>373</v>
      </c>
      <c r="I13" s="15" t="s">
        <v>375</v>
      </c>
      <c r="J13" s="11">
        <v>152924</v>
      </c>
    </row>
    <row r="14" spans="1:10" x14ac:dyDescent="0.35">
      <c r="A14" s="1" t="s">
        <v>364</v>
      </c>
      <c r="B14" s="13">
        <v>3255</v>
      </c>
      <c r="C14" s="1" t="s">
        <v>368</v>
      </c>
      <c r="D14" s="1" t="s">
        <v>372</v>
      </c>
    </row>
    <row r="15" spans="1:10" x14ac:dyDescent="0.35">
      <c r="A15" s="1" t="s">
        <v>233</v>
      </c>
      <c r="B15" s="13">
        <v>14867</v>
      </c>
      <c r="C15" s="1" t="s">
        <v>368</v>
      </c>
      <c r="D15" s="1" t="s">
        <v>370</v>
      </c>
    </row>
    <row r="16" spans="1:10" x14ac:dyDescent="0.35">
      <c r="A16" s="1" t="s">
        <v>233</v>
      </c>
      <c r="B16" s="13">
        <v>19302</v>
      </c>
      <c r="C16" s="1" t="s">
        <v>367</v>
      </c>
      <c r="D16" s="1" t="s">
        <v>371</v>
      </c>
    </row>
    <row r="17" spans="1:4" x14ac:dyDescent="0.35">
      <c r="A17" s="1" t="s">
        <v>224</v>
      </c>
      <c r="B17" s="13">
        <v>9698</v>
      </c>
      <c r="C17" s="1" t="s">
        <v>368</v>
      </c>
      <c r="D17" s="1" t="s">
        <v>373</v>
      </c>
    </row>
  </sheetData>
  <mergeCells count="1">
    <mergeCell ref="A1:D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7D102-84D2-454A-9474-42118449E2DA}">
  <dimension ref="A1:F64"/>
  <sheetViews>
    <sheetView topLeftCell="A55" workbookViewId="0">
      <selection activeCell="G67" sqref="G67"/>
    </sheetView>
  </sheetViews>
  <sheetFormatPr defaultRowHeight="14.5" x14ac:dyDescent="0.35"/>
  <cols>
    <col min="2" max="2" width="12.36328125" bestFit="1" customWidth="1"/>
    <col min="3" max="3" width="12.6328125" bestFit="1" customWidth="1"/>
    <col min="4" max="4" width="13.08984375" customWidth="1"/>
    <col min="5" max="5" width="12.36328125" bestFit="1" customWidth="1"/>
    <col min="6" max="6" width="12.6328125" bestFit="1" customWidth="1"/>
  </cols>
  <sheetData>
    <row r="1" spans="1:5" x14ac:dyDescent="0.35">
      <c r="A1" s="18" t="s">
        <v>377</v>
      </c>
      <c r="B1" s="18"/>
      <c r="C1" s="18"/>
      <c r="D1" s="18"/>
      <c r="E1" s="18"/>
    </row>
    <row r="3" spans="1:5" x14ac:dyDescent="0.35">
      <c r="A3" s="1" t="s">
        <v>378</v>
      </c>
      <c r="B3" s="1" t="s">
        <v>381</v>
      </c>
      <c r="C3" s="1" t="s">
        <v>382</v>
      </c>
      <c r="D3" s="1" t="s">
        <v>389</v>
      </c>
      <c r="E3" s="1" t="s">
        <v>393</v>
      </c>
    </row>
    <row r="4" spans="1:5" x14ac:dyDescent="0.35">
      <c r="A4" s="1" t="s">
        <v>379</v>
      </c>
      <c r="B4" s="1">
        <v>1998</v>
      </c>
      <c r="C4" s="1" t="s">
        <v>383</v>
      </c>
      <c r="D4" s="1" t="s">
        <v>390</v>
      </c>
      <c r="E4" s="16">
        <v>554536</v>
      </c>
    </row>
    <row r="5" spans="1:5" x14ac:dyDescent="0.35">
      <c r="A5" s="1" t="s">
        <v>379</v>
      </c>
      <c r="B5" s="1">
        <v>1998</v>
      </c>
      <c r="C5" s="1" t="s">
        <v>384</v>
      </c>
      <c r="D5" s="1" t="s">
        <v>390</v>
      </c>
      <c r="E5" s="16">
        <v>540643</v>
      </c>
    </row>
    <row r="6" spans="1:5" x14ac:dyDescent="0.35">
      <c r="A6" s="1" t="s">
        <v>379</v>
      </c>
      <c r="B6" s="1">
        <v>1998</v>
      </c>
      <c r="C6" s="1" t="s">
        <v>385</v>
      </c>
      <c r="D6" s="1" t="s">
        <v>390</v>
      </c>
      <c r="E6" s="16">
        <v>577548</v>
      </c>
    </row>
    <row r="7" spans="1:5" x14ac:dyDescent="0.35">
      <c r="A7" s="1" t="s">
        <v>379</v>
      </c>
      <c r="B7" s="1">
        <v>1998</v>
      </c>
      <c r="C7" s="1" t="s">
        <v>386</v>
      </c>
      <c r="D7" s="1" t="s">
        <v>390</v>
      </c>
      <c r="E7" s="16">
        <v>455905</v>
      </c>
    </row>
    <row r="8" spans="1:5" x14ac:dyDescent="0.35">
      <c r="A8" s="1" t="s">
        <v>379</v>
      </c>
      <c r="B8" s="1">
        <v>1998</v>
      </c>
      <c r="C8" s="1" t="s">
        <v>387</v>
      </c>
      <c r="D8" s="1" t="s">
        <v>390</v>
      </c>
      <c r="E8" s="16">
        <v>490871</v>
      </c>
    </row>
    <row r="9" spans="1:5" x14ac:dyDescent="0.35">
      <c r="A9" s="1" t="s">
        <v>379</v>
      </c>
      <c r="B9" s="1">
        <v>1998</v>
      </c>
      <c r="C9" s="1" t="s">
        <v>388</v>
      </c>
      <c r="D9" s="1" t="s">
        <v>390</v>
      </c>
      <c r="E9" s="16">
        <v>446383</v>
      </c>
    </row>
    <row r="10" spans="1:5" x14ac:dyDescent="0.35">
      <c r="A10" s="1" t="s">
        <v>379</v>
      </c>
      <c r="B10" s="1">
        <v>1998</v>
      </c>
      <c r="C10" s="1" t="s">
        <v>383</v>
      </c>
      <c r="D10" s="1" t="s">
        <v>391</v>
      </c>
      <c r="E10" s="16">
        <v>457726</v>
      </c>
    </row>
    <row r="11" spans="1:5" x14ac:dyDescent="0.35">
      <c r="A11" s="1" t="s">
        <v>379</v>
      </c>
      <c r="B11" s="1">
        <v>1998</v>
      </c>
      <c r="C11" s="1" t="s">
        <v>384</v>
      </c>
      <c r="D11" s="1" t="s">
        <v>391</v>
      </c>
      <c r="E11" s="16">
        <v>347696</v>
      </c>
    </row>
    <row r="12" spans="1:5" x14ac:dyDescent="0.35">
      <c r="A12" s="1" t="s">
        <v>379</v>
      </c>
      <c r="B12" s="1">
        <v>1998</v>
      </c>
      <c r="C12" s="1" t="s">
        <v>385</v>
      </c>
      <c r="D12" s="1" t="s">
        <v>391</v>
      </c>
      <c r="E12" s="16">
        <v>384541</v>
      </c>
    </row>
    <row r="13" spans="1:5" x14ac:dyDescent="0.35">
      <c r="A13" s="1" t="s">
        <v>379</v>
      </c>
      <c r="B13" s="1">
        <v>1998</v>
      </c>
      <c r="C13" s="1" t="s">
        <v>386</v>
      </c>
      <c r="D13" s="1" t="s">
        <v>391</v>
      </c>
      <c r="E13" s="16">
        <v>386420</v>
      </c>
    </row>
    <row r="14" spans="1:5" x14ac:dyDescent="0.35">
      <c r="A14" s="1" t="s">
        <v>379</v>
      </c>
      <c r="B14" s="1">
        <v>1998</v>
      </c>
      <c r="C14" s="1" t="s">
        <v>387</v>
      </c>
      <c r="D14" s="1" t="s">
        <v>391</v>
      </c>
      <c r="E14" s="16">
        <v>370970</v>
      </c>
    </row>
    <row r="15" spans="1:5" x14ac:dyDescent="0.35">
      <c r="A15" s="1" t="s">
        <v>379</v>
      </c>
      <c r="B15" s="1">
        <v>1998</v>
      </c>
      <c r="C15" s="1" t="s">
        <v>388</v>
      </c>
      <c r="D15" s="1" t="s">
        <v>391</v>
      </c>
      <c r="E15" s="16">
        <v>430754</v>
      </c>
    </row>
    <row r="16" spans="1:5" x14ac:dyDescent="0.35">
      <c r="A16" s="1" t="s">
        <v>379</v>
      </c>
      <c r="B16" s="1">
        <v>1998</v>
      </c>
      <c r="C16" s="1" t="s">
        <v>383</v>
      </c>
      <c r="D16" s="1" t="s">
        <v>392</v>
      </c>
      <c r="E16" s="16">
        <v>500847</v>
      </c>
    </row>
    <row r="17" spans="1:5" x14ac:dyDescent="0.35">
      <c r="A17" s="1" t="s">
        <v>379</v>
      </c>
      <c r="B17" s="1">
        <v>1998</v>
      </c>
      <c r="C17" s="1" t="s">
        <v>384</v>
      </c>
      <c r="D17" s="1" t="s">
        <v>392</v>
      </c>
      <c r="E17" s="16">
        <v>507070</v>
      </c>
    </row>
    <row r="18" spans="1:5" x14ac:dyDescent="0.35">
      <c r="A18" s="1" t="s">
        <v>379</v>
      </c>
      <c r="B18" s="1">
        <v>1998</v>
      </c>
      <c r="C18" s="1" t="s">
        <v>385</v>
      </c>
      <c r="D18" s="1" t="s">
        <v>392</v>
      </c>
      <c r="E18" s="16">
        <v>482346</v>
      </c>
    </row>
    <row r="19" spans="1:5" x14ac:dyDescent="0.35">
      <c r="A19" s="1" t="s">
        <v>379</v>
      </c>
      <c r="B19" s="1">
        <v>1998</v>
      </c>
      <c r="C19" s="1" t="s">
        <v>386</v>
      </c>
      <c r="D19" s="1" t="s">
        <v>392</v>
      </c>
      <c r="E19" s="16">
        <v>608713</v>
      </c>
    </row>
    <row r="20" spans="1:5" x14ac:dyDescent="0.35">
      <c r="A20" s="1" t="s">
        <v>379</v>
      </c>
      <c r="B20" s="1">
        <v>1998</v>
      </c>
      <c r="C20" s="1" t="s">
        <v>387</v>
      </c>
      <c r="D20" s="1" t="s">
        <v>392</v>
      </c>
      <c r="E20" s="16">
        <v>150000</v>
      </c>
    </row>
    <row r="21" spans="1:5" x14ac:dyDescent="0.35">
      <c r="A21" s="1" t="s">
        <v>379</v>
      </c>
      <c r="B21" s="1">
        <v>1998</v>
      </c>
      <c r="C21" s="1" t="s">
        <v>388</v>
      </c>
      <c r="D21" s="1" t="s">
        <v>392</v>
      </c>
      <c r="E21" s="16">
        <v>500649</v>
      </c>
    </row>
    <row r="22" spans="1:5" x14ac:dyDescent="0.35">
      <c r="A22" s="1" t="s">
        <v>380</v>
      </c>
      <c r="B22" s="1">
        <v>1998</v>
      </c>
      <c r="C22" s="1" t="s">
        <v>383</v>
      </c>
      <c r="D22" s="1" t="s">
        <v>390</v>
      </c>
      <c r="E22" s="16">
        <v>545780</v>
      </c>
    </row>
    <row r="23" spans="1:5" x14ac:dyDescent="0.35">
      <c r="A23" s="1" t="s">
        <v>380</v>
      </c>
      <c r="B23" s="1">
        <v>1998</v>
      </c>
      <c r="C23" s="1" t="s">
        <v>384</v>
      </c>
      <c r="D23" s="1" t="s">
        <v>390</v>
      </c>
      <c r="E23" s="16">
        <v>440644</v>
      </c>
    </row>
    <row r="24" spans="1:5" x14ac:dyDescent="0.35">
      <c r="A24" s="1" t="s">
        <v>380</v>
      </c>
      <c r="B24" s="1">
        <v>1998</v>
      </c>
      <c r="C24" s="1" t="s">
        <v>385</v>
      </c>
      <c r="D24" s="1" t="s">
        <v>390</v>
      </c>
      <c r="E24" s="16">
        <v>580359</v>
      </c>
    </row>
    <row r="25" spans="1:5" x14ac:dyDescent="0.35">
      <c r="A25" s="1" t="s">
        <v>380</v>
      </c>
      <c r="B25" s="1">
        <v>1998</v>
      </c>
      <c r="C25" s="1" t="s">
        <v>386</v>
      </c>
      <c r="D25" s="1" t="s">
        <v>390</v>
      </c>
      <c r="E25" s="16">
        <v>536225</v>
      </c>
    </row>
    <row r="26" spans="1:5" x14ac:dyDescent="0.35">
      <c r="A26" s="1" t="s">
        <v>380</v>
      </c>
      <c r="B26" s="1">
        <v>1998</v>
      </c>
      <c r="C26" s="1" t="s">
        <v>387</v>
      </c>
      <c r="D26" s="1" t="s">
        <v>390</v>
      </c>
      <c r="E26" s="16">
        <v>414908</v>
      </c>
    </row>
    <row r="27" spans="1:5" x14ac:dyDescent="0.35">
      <c r="A27" s="1" t="s">
        <v>380</v>
      </c>
      <c r="B27" s="1">
        <v>1998</v>
      </c>
      <c r="C27" s="1" t="s">
        <v>388</v>
      </c>
      <c r="D27" s="1" t="s">
        <v>390</v>
      </c>
      <c r="E27" s="16">
        <v>377997</v>
      </c>
    </row>
    <row r="28" spans="1:5" x14ac:dyDescent="0.35">
      <c r="A28" s="1" t="s">
        <v>380</v>
      </c>
      <c r="B28" s="1">
        <v>1998</v>
      </c>
      <c r="C28" s="1" t="s">
        <v>383</v>
      </c>
      <c r="D28" s="1" t="s">
        <v>391</v>
      </c>
      <c r="E28" s="16">
        <v>331289</v>
      </c>
    </row>
    <row r="29" spans="1:5" x14ac:dyDescent="0.35">
      <c r="A29" s="1" t="s">
        <v>380</v>
      </c>
      <c r="B29" s="1">
        <v>1998</v>
      </c>
      <c r="C29" s="1" t="s">
        <v>384</v>
      </c>
      <c r="D29" s="1" t="s">
        <v>391</v>
      </c>
      <c r="E29" s="16">
        <v>384572</v>
      </c>
    </row>
    <row r="30" spans="1:5" x14ac:dyDescent="0.35">
      <c r="A30" s="1" t="s">
        <v>380</v>
      </c>
      <c r="B30" s="1">
        <v>1998</v>
      </c>
      <c r="C30" s="1" t="s">
        <v>385</v>
      </c>
      <c r="D30" s="1" t="s">
        <v>391</v>
      </c>
      <c r="E30" s="16">
        <v>365813</v>
      </c>
    </row>
    <row r="31" spans="1:5" x14ac:dyDescent="0.35">
      <c r="A31" s="1" t="s">
        <v>380</v>
      </c>
      <c r="B31" s="1">
        <v>1998</v>
      </c>
      <c r="C31" s="1" t="s">
        <v>386</v>
      </c>
      <c r="D31" s="1" t="s">
        <v>391</v>
      </c>
      <c r="E31" s="16">
        <v>396338</v>
      </c>
    </row>
    <row r="32" spans="1:5" x14ac:dyDescent="0.35">
      <c r="A32" s="1" t="s">
        <v>380</v>
      </c>
      <c r="B32" s="1">
        <v>1998</v>
      </c>
      <c r="C32" s="1" t="s">
        <v>387</v>
      </c>
      <c r="D32" s="1" t="s">
        <v>391</v>
      </c>
      <c r="E32" s="16">
        <v>453761</v>
      </c>
    </row>
    <row r="33" spans="1:5" x14ac:dyDescent="0.35">
      <c r="A33" s="1" t="s">
        <v>380</v>
      </c>
      <c r="B33" s="1">
        <v>1998</v>
      </c>
      <c r="C33" s="1" t="s">
        <v>388</v>
      </c>
      <c r="D33" s="1" t="s">
        <v>391</v>
      </c>
      <c r="E33" s="16">
        <v>356538</v>
      </c>
    </row>
    <row r="34" spans="1:5" x14ac:dyDescent="0.35">
      <c r="A34" s="1" t="s">
        <v>380</v>
      </c>
      <c r="B34" s="1">
        <v>1998</v>
      </c>
      <c r="C34" s="1" t="s">
        <v>383</v>
      </c>
      <c r="D34" s="1" t="s">
        <v>392</v>
      </c>
      <c r="E34" s="16">
        <v>606332</v>
      </c>
    </row>
    <row r="35" spans="1:5" x14ac:dyDescent="0.35">
      <c r="A35" s="1" t="s">
        <v>380</v>
      </c>
      <c r="B35" s="1">
        <v>1998</v>
      </c>
      <c r="C35" s="1" t="s">
        <v>384</v>
      </c>
      <c r="D35" s="1" t="s">
        <v>392</v>
      </c>
      <c r="E35" s="16">
        <v>535218</v>
      </c>
    </row>
    <row r="36" spans="1:5" x14ac:dyDescent="0.35">
      <c r="A36" s="1" t="s">
        <v>380</v>
      </c>
      <c r="B36" s="1">
        <v>1998</v>
      </c>
      <c r="C36" s="1" t="s">
        <v>385</v>
      </c>
      <c r="D36" s="1" t="s">
        <v>392</v>
      </c>
      <c r="E36" s="16">
        <v>493364</v>
      </c>
    </row>
    <row r="37" spans="1:5" x14ac:dyDescent="0.35">
      <c r="A37" s="1" t="s">
        <v>380</v>
      </c>
      <c r="B37" s="1">
        <v>1998</v>
      </c>
      <c r="C37" s="1" t="s">
        <v>386</v>
      </c>
      <c r="D37" s="1" t="s">
        <v>392</v>
      </c>
      <c r="E37" s="16">
        <v>559100</v>
      </c>
    </row>
    <row r="38" spans="1:5" x14ac:dyDescent="0.35">
      <c r="A38" s="1" t="s">
        <v>380</v>
      </c>
      <c r="B38" s="1">
        <v>1998</v>
      </c>
      <c r="C38" s="1" t="s">
        <v>387</v>
      </c>
      <c r="D38" s="1" t="s">
        <v>392</v>
      </c>
      <c r="E38" s="16">
        <v>220350</v>
      </c>
    </row>
    <row r="39" spans="1:5" x14ac:dyDescent="0.35">
      <c r="A39" s="1" t="s">
        <v>380</v>
      </c>
      <c r="B39" s="1">
        <v>1998</v>
      </c>
      <c r="C39" s="1" t="s">
        <v>388</v>
      </c>
      <c r="D39" s="1" t="s">
        <v>392</v>
      </c>
      <c r="E39" s="16">
        <v>476975</v>
      </c>
    </row>
    <row r="41" spans="1:5" x14ac:dyDescent="0.35">
      <c r="A41" t="s">
        <v>394</v>
      </c>
    </row>
    <row r="42" spans="1:5" x14ac:dyDescent="0.35">
      <c r="A42" t="s">
        <v>56</v>
      </c>
      <c r="B42" t="s">
        <v>380</v>
      </c>
      <c r="C42">
        <f>COUNTIF(A4:A39,"Spring")</f>
        <v>18</v>
      </c>
    </row>
    <row r="43" spans="1:5" x14ac:dyDescent="0.35">
      <c r="B43" t="s">
        <v>379</v>
      </c>
      <c r="C43">
        <f>COUNTIF(A4:A39,"Spring")</f>
        <v>18</v>
      </c>
    </row>
    <row r="44" spans="1:5" x14ac:dyDescent="0.35">
      <c r="A44" t="s">
        <v>395</v>
      </c>
    </row>
    <row r="45" spans="1:5" x14ac:dyDescent="0.35">
      <c r="A45" t="s">
        <v>396</v>
      </c>
      <c r="B45" t="s">
        <v>397</v>
      </c>
      <c r="D45">
        <f>COUNTIFS(A4:A39,"Fall",D4:D39,"California")</f>
        <v>6</v>
      </c>
    </row>
    <row r="46" spans="1:5" x14ac:dyDescent="0.35">
      <c r="B46" t="s">
        <v>398</v>
      </c>
      <c r="D46">
        <f>COUNTIFS(A4:A39,"Fall",D4:D39,"Washington")</f>
        <v>6</v>
      </c>
    </row>
    <row r="47" spans="1:5" x14ac:dyDescent="0.35">
      <c r="A47" t="s">
        <v>399</v>
      </c>
    </row>
    <row r="48" spans="1:5" x14ac:dyDescent="0.35">
      <c r="A48" t="s">
        <v>56</v>
      </c>
      <c r="B48" t="s">
        <v>400</v>
      </c>
      <c r="E48">
        <f>SUMIFS(E4:E39,A4:A39,"Spring",D4:D39,"Washington")</f>
        <v>2891339</v>
      </c>
    </row>
    <row r="49" spans="1:6" x14ac:dyDescent="0.35">
      <c r="B49" t="s">
        <v>401</v>
      </c>
      <c r="E49">
        <f>SUMIFS(E4:E39,A4:A39,"Spring",D4:D39,"California")</f>
        <v>2895913</v>
      </c>
    </row>
    <row r="50" spans="1:6" x14ac:dyDescent="0.35">
      <c r="A50" t="s">
        <v>402</v>
      </c>
    </row>
    <row r="51" spans="1:6" x14ac:dyDescent="0.35">
      <c r="A51" t="s">
        <v>56</v>
      </c>
      <c r="B51">
        <f>COUNTIFS(A4:A39,"Spring",D4:D39,"Washington")</f>
        <v>6</v>
      </c>
    </row>
    <row r="52" spans="1:6" x14ac:dyDescent="0.35">
      <c r="A52" t="s">
        <v>403</v>
      </c>
    </row>
    <row r="53" spans="1:6" x14ac:dyDescent="0.35">
      <c r="A53" t="s">
        <v>56</v>
      </c>
    </row>
    <row r="54" spans="1:6" x14ac:dyDescent="0.35">
      <c r="B54" s="14" t="s">
        <v>374</v>
      </c>
      <c r="C54" t="s">
        <v>404</v>
      </c>
      <c r="E54" s="14" t="s">
        <v>374</v>
      </c>
      <c r="F54" t="s">
        <v>404</v>
      </c>
    </row>
    <row r="55" spans="1:6" x14ac:dyDescent="0.35">
      <c r="B55" s="15" t="s">
        <v>379</v>
      </c>
      <c r="C55" s="12">
        <v>8193618</v>
      </c>
      <c r="E55" s="15" t="s">
        <v>383</v>
      </c>
      <c r="F55" s="12">
        <v>2996510</v>
      </c>
    </row>
    <row r="56" spans="1:6" x14ac:dyDescent="0.35">
      <c r="B56" s="15" t="s">
        <v>380</v>
      </c>
      <c r="C56" s="12">
        <v>8075563</v>
      </c>
      <c r="E56" s="15" t="s">
        <v>384</v>
      </c>
      <c r="F56" s="12">
        <v>2755843</v>
      </c>
    </row>
    <row r="57" spans="1:6" x14ac:dyDescent="0.35">
      <c r="B57" s="15" t="s">
        <v>375</v>
      </c>
      <c r="C57" s="12">
        <v>16269181</v>
      </c>
      <c r="E57" s="15" t="s">
        <v>385</v>
      </c>
      <c r="F57" s="12">
        <v>2883971</v>
      </c>
    </row>
    <row r="58" spans="1:6" x14ac:dyDescent="0.35">
      <c r="E58" s="15" t="s">
        <v>386</v>
      </c>
      <c r="F58" s="12">
        <v>2942701</v>
      </c>
    </row>
    <row r="59" spans="1:6" x14ac:dyDescent="0.35">
      <c r="E59" s="15" t="s">
        <v>387</v>
      </c>
      <c r="F59" s="12">
        <v>2100860</v>
      </c>
    </row>
    <row r="60" spans="1:6" x14ac:dyDescent="0.35">
      <c r="B60" s="14" t="s">
        <v>374</v>
      </c>
      <c r="C60" t="s">
        <v>404</v>
      </c>
      <c r="E60" s="15" t="s">
        <v>388</v>
      </c>
      <c r="F60" s="12">
        <v>2589296</v>
      </c>
    </row>
    <row r="61" spans="1:6" x14ac:dyDescent="0.35">
      <c r="B61" s="15" t="s">
        <v>390</v>
      </c>
      <c r="C61" s="12">
        <v>5961799</v>
      </c>
      <c r="E61" s="15" t="s">
        <v>375</v>
      </c>
      <c r="F61" s="12">
        <v>16269181</v>
      </c>
    </row>
    <row r="62" spans="1:6" x14ac:dyDescent="0.35">
      <c r="B62" s="15" t="s">
        <v>391</v>
      </c>
      <c r="C62" s="12">
        <v>4666418</v>
      </c>
    </row>
    <row r="63" spans="1:6" x14ac:dyDescent="0.35">
      <c r="B63" s="15" t="s">
        <v>392</v>
      </c>
      <c r="C63" s="12">
        <v>5640964</v>
      </c>
    </row>
    <row r="64" spans="1:6" x14ac:dyDescent="0.35">
      <c r="B64" s="15" t="s">
        <v>375</v>
      </c>
      <c r="C64" s="12">
        <v>16269181</v>
      </c>
    </row>
  </sheetData>
  <mergeCells count="1">
    <mergeCell ref="A1:E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3A67-D708-46C8-AFF7-D71699C50907}">
  <dimension ref="A1:F80"/>
  <sheetViews>
    <sheetView workbookViewId="0">
      <selection activeCell="B72" sqref="B72"/>
    </sheetView>
  </sheetViews>
  <sheetFormatPr defaultRowHeight="14.5" x14ac:dyDescent="0.35"/>
  <cols>
    <col min="2" max="2" width="13.90625" bestFit="1" customWidth="1"/>
    <col min="3" max="3" width="14" bestFit="1" customWidth="1"/>
    <col min="4" max="4" width="7.08984375" bestFit="1" customWidth="1"/>
    <col min="5" max="5" width="11.7265625" customWidth="1"/>
    <col min="6" max="6" width="16.26953125" customWidth="1"/>
    <col min="7" max="7" width="11.6328125" bestFit="1" customWidth="1"/>
    <col min="8" max="8" width="14.36328125" bestFit="1" customWidth="1"/>
    <col min="9" max="9" width="12.08984375" bestFit="1" customWidth="1"/>
    <col min="10" max="10" width="10.7265625" bestFit="1" customWidth="1"/>
  </cols>
  <sheetData>
    <row r="1" spans="1:6" x14ac:dyDescent="0.35">
      <c r="A1" t="s">
        <v>405</v>
      </c>
    </row>
    <row r="3" spans="1:6" x14ac:dyDescent="0.35">
      <c r="A3" s="1" t="s">
        <v>406</v>
      </c>
      <c r="B3" s="1" t="s">
        <v>407</v>
      </c>
      <c r="C3" s="1" t="s">
        <v>423</v>
      </c>
      <c r="D3" s="1" t="s">
        <v>415</v>
      </c>
      <c r="E3" s="1" t="s">
        <v>159</v>
      </c>
      <c r="F3" s="1" t="s">
        <v>366</v>
      </c>
    </row>
    <row r="4" spans="1:6" x14ac:dyDescent="0.35">
      <c r="A4" s="1">
        <v>1</v>
      </c>
      <c r="B4" s="1" t="s">
        <v>408</v>
      </c>
      <c r="C4" s="1" t="s">
        <v>424</v>
      </c>
      <c r="D4" s="16">
        <v>4270</v>
      </c>
      <c r="E4" s="2">
        <v>42375</v>
      </c>
      <c r="F4" s="1" t="s">
        <v>416</v>
      </c>
    </row>
    <row r="5" spans="1:6" x14ac:dyDescent="0.35">
      <c r="A5" s="1">
        <v>2</v>
      </c>
      <c r="B5" s="1" t="s">
        <v>409</v>
      </c>
      <c r="C5" s="1" t="s">
        <v>424</v>
      </c>
      <c r="D5" s="16">
        <v>8239</v>
      </c>
      <c r="E5" s="2">
        <v>42376</v>
      </c>
      <c r="F5" s="1" t="s">
        <v>417</v>
      </c>
    </row>
    <row r="6" spans="1:6" x14ac:dyDescent="0.35">
      <c r="A6" s="1">
        <v>3</v>
      </c>
      <c r="B6" s="1" t="s">
        <v>410</v>
      </c>
      <c r="C6" s="1" t="s">
        <v>425</v>
      </c>
      <c r="D6" s="16">
        <v>617</v>
      </c>
      <c r="E6" s="2">
        <v>42377</v>
      </c>
      <c r="F6" s="1" t="s">
        <v>416</v>
      </c>
    </row>
    <row r="7" spans="1:6" x14ac:dyDescent="0.35">
      <c r="A7" s="1">
        <v>4</v>
      </c>
      <c r="B7" s="1" t="s">
        <v>410</v>
      </c>
      <c r="C7" s="1" t="s">
        <v>425</v>
      </c>
      <c r="D7" s="16">
        <v>8384</v>
      </c>
      <c r="E7" s="2">
        <v>42379</v>
      </c>
      <c r="F7" s="1" t="s">
        <v>418</v>
      </c>
    </row>
    <row r="8" spans="1:6" x14ac:dyDescent="0.35">
      <c r="A8" s="1">
        <v>5</v>
      </c>
      <c r="B8" s="1" t="s">
        <v>411</v>
      </c>
      <c r="C8" s="1" t="s">
        <v>424</v>
      </c>
      <c r="D8" s="16">
        <v>2626</v>
      </c>
      <c r="E8" s="2">
        <v>42379</v>
      </c>
      <c r="F8" s="1" t="s">
        <v>419</v>
      </c>
    </row>
    <row r="9" spans="1:6" x14ac:dyDescent="0.35">
      <c r="A9" s="1">
        <v>6</v>
      </c>
      <c r="B9" s="1" t="s">
        <v>412</v>
      </c>
      <c r="C9" s="1" t="s">
        <v>425</v>
      </c>
      <c r="D9" s="16">
        <v>3610</v>
      </c>
      <c r="E9" s="2">
        <v>42380</v>
      </c>
      <c r="F9" s="1" t="s">
        <v>416</v>
      </c>
    </row>
    <row r="10" spans="1:6" x14ac:dyDescent="0.35">
      <c r="A10" s="1">
        <v>7</v>
      </c>
      <c r="B10" s="1" t="s">
        <v>409</v>
      </c>
      <c r="C10" s="1" t="s">
        <v>424</v>
      </c>
      <c r="D10" s="16">
        <v>9062</v>
      </c>
      <c r="E10" s="2">
        <v>42380</v>
      </c>
      <c r="F10" s="1" t="s">
        <v>420</v>
      </c>
    </row>
    <row r="11" spans="1:6" x14ac:dyDescent="0.35">
      <c r="A11" s="1">
        <v>8</v>
      </c>
      <c r="B11" s="1" t="s">
        <v>410</v>
      </c>
      <c r="C11" s="1" t="s">
        <v>425</v>
      </c>
      <c r="D11" s="16">
        <v>6906</v>
      </c>
      <c r="E11" s="2">
        <v>42385</v>
      </c>
      <c r="F11" s="1" t="s">
        <v>421</v>
      </c>
    </row>
    <row r="12" spans="1:6" x14ac:dyDescent="0.35">
      <c r="A12" s="1">
        <v>9</v>
      </c>
      <c r="B12" s="1" t="s">
        <v>413</v>
      </c>
      <c r="C12" s="1" t="s">
        <v>425</v>
      </c>
      <c r="D12" s="16">
        <v>2417</v>
      </c>
      <c r="E12" s="2">
        <v>42385</v>
      </c>
      <c r="F12" s="1" t="s">
        <v>422</v>
      </c>
    </row>
    <row r="13" spans="1:6" x14ac:dyDescent="0.35">
      <c r="A13" s="1">
        <v>10</v>
      </c>
      <c r="B13" s="1" t="s">
        <v>413</v>
      </c>
      <c r="C13" s="1" t="s">
        <v>425</v>
      </c>
      <c r="D13" s="16">
        <v>7431</v>
      </c>
      <c r="E13" s="2">
        <v>42385</v>
      </c>
      <c r="F13" s="1" t="s">
        <v>418</v>
      </c>
    </row>
    <row r="14" spans="1:6" x14ac:dyDescent="0.35">
      <c r="A14" s="1">
        <v>11</v>
      </c>
      <c r="B14" s="1" t="s">
        <v>410</v>
      </c>
      <c r="C14" s="1" t="s">
        <v>425</v>
      </c>
      <c r="D14" s="16">
        <v>8250</v>
      </c>
      <c r="E14" s="2">
        <v>42385</v>
      </c>
      <c r="F14" s="1" t="s">
        <v>419</v>
      </c>
    </row>
    <row r="15" spans="1:6" x14ac:dyDescent="0.35">
      <c r="A15" s="1">
        <v>12</v>
      </c>
      <c r="B15" s="1" t="s">
        <v>409</v>
      </c>
      <c r="C15" s="1" t="s">
        <v>424</v>
      </c>
      <c r="D15" s="16">
        <v>7012</v>
      </c>
      <c r="E15" s="2">
        <v>42387</v>
      </c>
      <c r="F15" s="1" t="s">
        <v>416</v>
      </c>
    </row>
    <row r="16" spans="1:6" x14ac:dyDescent="0.35">
      <c r="A16" s="1">
        <v>13</v>
      </c>
      <c r="B16" s="1" t="s">
        <v>408</v>
      </c>
      <c r="C16" s="1" t="s">
        <v>424</v>
      </c>
      <c r="D16" s="16">
        <v>1903</v>
      </c>
      <c r="E16" s="2">
        <v>42389</v>
      </c>
      <c r="F16" s="1" t="s">
        <v>419</v>
      </c>
    </row>
    <row r="17" spans="1:6" x14ac:dyDescent="0.35">
      <c r="A17" s="1">
        <v>14</v>
      </c>
      <c r="B17" s="1" t="s">
        <v>409</v>
      </c>
      <c r="C17" s="1" t="s">
        <v>424</v>
      </c>
      <c r="D17" s="16">
        <v>2824</v>
      </c>
      <c r="E17" s="2">
        <v>42391</v>
      </c>
      <c r="F17" s="1" t="s">
        <v>418</v>
      </c>
    </row>
    <row r="18" spans="1:6" x14ac:dyDescent="0.35">
      <c r="A18" s="1">
        <v>15</v>
      </c>
      <c r="B18" s="1" t="s">
        <v>413</v>
      </c>
      <c r="C18" s="1" t="s">
        <v>425</v>
      </c>
      <c r="D18" s="16">
        <v>6946</v>
      </c>
      <c r="E18" s="2">
        <v>42393</v>
      </c>
      <c r="F18" s="1" t="s">
        <v>422</v>
      </c>
    </row>
    <row r="19" spans="1:6" x14ac:dyDescent="0.35">
      <c r="A19" s="1">
        <v>16</v>
      </c>
      <c r="B19" s="1" t="s">
        <v>410</v>
      </c>
      <c r="C19" s="1" t="s">
        <v>425</v>
      </c>
      <c r="D19" s="16">
        <v>2320</v>
      </c>
      <c r="E19" s="2">
        <v>42396</v>
      </c>
      <c r="F19" s="1" t="s">
        <v>417</v>
      </c>
    </row>
    <row r="20" spans="1:6" x14ac:dyDescent="0.35">
      <c r="A20" s="1">
        <v>17</v>
      </c>
      <c r="B20" s="1" t="s">
        <v>410</v>
      </c>
      <c r="C20" s="1" t="s">
        <v>425</v>
      </c>
      <c r="D20" s="16">
        <v>2116</v>
      </c>
      <c r="E20" s="2">
        <v>42397</v>
      </c>
      <c r="F20" s="1" t="s">
        <v>416</v>
      </c>
    </row>
    <row r="21" spans="1:6" x14ac:dyDescent="0.35">
      <c r="A21" s="1">
        <v>18</v>
      </c>
      <c r="B21" s="1" t="s">
        <v>410</v>
      </c>
      <c r="C21" s="1" t="s">
        <v>425</v>
      </c>
      <c r="D21" s="16">
        <v>1135</v>
      </c>
      <c r="E21" s="2">
        <v>42399</v>
      </c>
      <c r="F21" s="1" t="s">
        <v>417</v>
      </c>
    </row>
    <row r="22" spans="1:6" x14ac:dyDescent="0.35">
      <c r="A22" s="1">
        <v>19</v>
      </c>
      <c r="B22" s="1" t="s">
        <v>409</v>
      </c>
      <c r="C22" s="1" t="s">
        <v>424</v>
      </c>
      <c r="D22" s="16">
        <v>3595</v>
      </c>
      <c r="E22" s="2">
        <v>42399</v>
      </c>
      <c r="F22" s="1" t="s">
        <v>417</v>
      </c>
    </row>
    <row r="23" spans="1:6" x14ac:dyDescent="0.35">
      <c r="A23" s="1">
        <v>20</v>
      </c>
      <c r="B23" s="1" t="s">
        <v>413</v>
      </c>
      <c r="C23" s="1" t="s">
        <v>425</v>
      </c>
      <c r="D23" s="16">
        <v>1161</v>
      </c>
      <c r="E23" s="2">
        <v>42402</v>
      </c>
      <c r="F23" s="1" t="s">
        <v>416</v>
      </c>
    </row>
    <row r="24" spans="1:6" x14ac:dyDescent="0.35">
      <c r="A24" s="1">
        <v>21</v>
      </c>
      <c r="B24" s="1" t="s">
        <v>412</v>
      </c>
      <c r="C24" s="1" t="s">
        <v>425</v>
      </c>
      <c r="D24" s="16">
        <v>2256</v>
      </c>
      <c r="E24" s="2">
        <v>42404</v>
      </c>
      <c r="F24" s="1" t="s">
        <v>422</v>
      </c>
    </row>
    <row r="25" spans="1:6" x14ac:dyDescent="0.35">
      <c r="A25" s="1">
        <v>22</v>
      </c>
      <c r="B25" s="1" t="s">
        <v>410</v>
      </c>
      <c r="C25" s="1" t="s">
        <v>425</v>
      </c>
      <c r="D25" s="16">
        <v>1004</v>
      </c>
      <c r="E25" s="2">
        <v>42411</v>
      </c>
      <c r="F25" s="1" t="s">
        <v>421</v>
      </c>
    </row>
    <row r="26" spans="1:6" x14ac:dyDescent="0.35">
      <c r="A26" s="1">
        <v>23</v>
      </c>
      <c r="B26" s="1" t="s">
        <v>410</v>
      </c>
      <c r="C26" s="1" t="s">
        <v>425</v>
      </c>
      <c r="D26" s="16">
        <v>3642</v>
      </c>
      <c r="E26" s="2">
        <v>42414</v>
      </c>
      <c r="F26" s="1" t="s">
        <v>418</v>
      </c>
    </row>
    <row r="27" spans="1:6" x14ac:dyDescent="0.35">
      <c r="A27" s="1">
        <v>24</v>
      </c>
      <c r="B27" s="1" t="s">
        <v>410</v>
      </c>
      <c r="C27" s="1" t="s">
        <v>425</v>
      </c>
      <c r="D27" s="16">
        <v>4582</v>
      </c>
      <c r="E27" s="2">
        <v>42417</v>
      </c>
      <c r="F27" s="1" t="s">
        <v>416</v>
      </c>
    </row>
    <row r="28" spans="1:6" x14ac:dyDescent="0.35">
      <c r="A28" s="1">
        <v>25</v>
      </c>
      <c r="B28" s="1" t="s">
        <v>411</v>
      </c>
      <c r="C28" s="1" t="s">
        <v>424</v>
      </c>
      <c r="D28" s="16">
        <v>3559</v>
      </c>
      <c r="E28" s="2">
        <v>42417</v>
      </c>
      <c r="F28" s="1" t="s">
        <v>417</v>
      </c>
    </row>
    <row r="29" spans="1:6" x14ac:dyDescent="0.35">
      <c r="A29" s="1">
        <v>26</v>
      </c>
      <c r="B29" s="1" t="s">
        <v>408</v>
      </c>
      <c r="C29" s="1" t="s">
        <v>424</v>
      </c>
      <c r="D29" s="16">
        <v>5154</v>
      </c>
      <c r="E29" s="2">
        <v>42417</v>
      </c>
      <c r="F29" s="1" t="s">
        <v>420</v>
      </c>
    </row>
    <row r="30" spans="1:6" x14ac:dyDescent="0.35">
      <c r="A30" s="1">
        <v>27</v>
      </c>
      <c r="B30" s="1" t="s">
        <v>414</v>
      </c>
      <c r="C30" s="1" t="s">
        <v>425</v>
      </c>
      <c r="D30" s="16">
        <v>7388</v>
      </c>
      <c r="E30" s="2">
        <v>42418</v>
      </c>
      <c r="F30" s="1" t="s">
        <v>422</v>
      </c>
    </row>
    <row r="31" spans="1:6" x14ac:dyDescent="0.35">
      <c r="A31" s="1">
        <v>28</v>
      </c>
      <c r="B31" s="1" t="s">
        <v>411</v>
      </c>
      <c r="C31" s="1" t="s">
        <v>424</v>
      </c>
      <c r="D31" s="16">
        <v>7163</v>
      </c>
      <c r="E31" s="2">
        <v>42418</v>
      </c>
      <c r="F31" s="1" t="s">
        <v>416</v>
      </c>
    </row>
    <row r="32" spans="1:6" x14ac:dyDescent="0.35">
      <c r="A32" s="1">
        <v>29</v>
      </c>
      <c r="B32" s="1" t="s">
        <v>411</v>
      </c>
      <c r="C32" s="1" t="s">
        <v>424</v>
      </c>
      <c r="D32" s="16">
        <v>5101</v>
      </c>
      <c r="E32" s="2">
        <v>42420</v>
      </c>
      <c r="F32" s="1" t="s">
        <v>419</v>
      </c>
    </row>
    <row r="33" spans="1:6" x14ac:dyDescent="0.35">
      <c r="A33" s="1">
        <v>30</v>
      </c>
      <c r="B33" s="1" t="s">
        <v>413</v>
      </c>
      <c r="C33" s="1" t="s">
        <v>425</v>
      </c>
      <c r="D33" s="16">
        <v>7602</v>
      </c>
      <c r="E33" s="2">
        <v>42421</v>
      </c>
      <c r="F33" s="1" t="s">
        <v>422</v>
      </c>
    </row>
    <row r="35" spans="1:6" x14ac:dyDescent="0.35">
      <c r="A35" t="s">
        <v>426</v>
      </c>
    </row>
    <row r="36" spans="1:6" x14ac:dyDescent="0.35">
      <c r="A36" t="s">
        <v>110</v>
      </c>
      <c r="B36" s="14" t="s">
        <v>374</v>
      </c>
      <c r="C36" t="s">
        <v>427</v>
      </c>
    </row>
    <row r="37" spans="1:6" x14ac:dyDescent="0.35">
      <c r="B37" s="15" t="s">
        <v>425</v>
      </c>
      <c r="C37">
        <v>18</v>
      </c>
    </row>
    <row r="38" spans="1:6" x14ac:dyDescent="0.35">
      <c r="B38" s="15" t="s">
        <v>424</v>
      </c>
      <c r="C38">
        <v>12</v>
      </c>
    </row>
    <row r="39" spans="1:6" x14ac:dyDescent="0.35">
      <c r="B39" s="15" t="s">
        <v>375</v>
      </c>
      <c r="C39">
        <v>30</v>
      </c>
    </row>
    <row r="41" spans="1:6" x14ac:dyDescent="0.35">
      <c r="A41" t="s">
        <v>428</v>
      </c>
    </row>
    <row r="42" spans="1:6" x14ac:dyDescent="0.35">
      <c r="A42" t="s">
        <v>56</v>
      </c>
      <c r="B42" s="14" t="s">
        <v>374</v>
      </c>
      <c r="C42" t="s">
        <v>429</v>
      </c>
    </row>
    <row r="43" spans="1:6" x14ac:dyDescent="0.35">
      <c r="B43" s="15" t="s">
        <v>413</v>
      </c>
      <c r="C43" s="12">
        <v>25557</v>
      </c>
    </row>
    <row r="44" spans="1:6" x14ac:dyDescent="0.35">
      <c r="B44" s="15" t="s">
        <v>410</v>
      </c>
      <c r="C44" s="12">
        <v>38956</v>
      </c>
    </row>
    <row r="45" spans="1:6" x14ac:dyDescent="0.35">
      <c r="B45" s="15" t="s">
        <v>375</v>
      </c>
      <c r="C45" s="12">
        <v>64513</v>
      </c>
    </row>
    <row r="47" spans="1:6" x14ac:dyDescent="0.35">
      <c r="A47" t="s">
        <v>430</v>
      </c>
    </row>
    <row r="48" spans="1:6" x14ac:dyDescent="0.35">
      <c r="A48" t="s">
        <v>56</v>
      </c>
      <c r="B48" s="14" t="s">
        <v>374</v>
      </c>
      <c r="C48" t="s">
        <v>431</v>
      </c>
    </row>
    <row r="49" spans="1:3" x14ac:dyDescent="0.35">
      <c r="B49" s="15" t="s">
        <v>413</v>
      </c>
      <c r="C49">
        <v>5</v>
      </c>
    </row>
    <row r="50" spans="1:3" x14ac:dyDescent="0.35">
      <c r="B50" s="15" t="s">
        <v>410</v>
      </c>
      <c r="C50">
        <v>10</v>
      </c>
    </row>
    <row r="51" spans="1:3" x14ac:dyDescent="0.35">
      <c r="B51" s="15" t="s">
        <v>411</v>
      </c>
      <c r="C51">
        <v>4</v>
      </c>
    </row>
    <row r="52" spans="1:3" x14ac:dyDescent="0.35">
      <c r="B52" s="15" t="s">
        <v>409</v>
      </c>
      <c r="C52">
        <v>5</v>
      </c>
    </row>
    <row r="53" spans="1:3" x14ac:dyDescent="0.35">
      <c r="B53" s="15" t="s">
        <v>408</v>
      </c>
      <c r="C53">
        <v>3</v>
      </c>
    </row>
    <row r="54" spans="1:3" x14ac:dyDescent="0.35">
      <c r="B54" s="15" t="s">
        <v>414</v>
      </c>
      <c r="C54">
        <v>1</v>
      </c>
    </row>
    <row r="55" spans="1:3" x14ac:dyDescent="0.35">
      <c r="B55" s="15" t="s">
        <v>412</v>
      </c>
      <c r="C55">
        <v>2</v>
      </c>
    </row>
    <row r="56" spans="1:3" x14ac:dyDescent="0.35">
      <c r="B56" s="15" t="s">
        <v>375</v>
      </c>
      <c r="C56">
        <v>30</v>
      </c>
    </row>
    <row r="58" spans="1:3" x14ac:dyDescent="0.35">
      <c r="A58" t="s">
        <v>432</v>
      </c>
    </row>
    <row r="59" spans="1:3" x14ac:dyDescent="0.35">
      <c r="A59" t="s">
        <v>110</v>
      </c>
      <c r="B59" s="14" t="s">
        <v>374</v>
      </c>
      <c r="C59" t="s">
        <v>431</v>
      </c>
    </row>
    <row r="60" spans="1:3" x14ac:dyDescent="0.35">
      <c r="B60" s="15" t="s">
        <v>418</v>
      </c>
      <c r="C60">
        <v>4</v>
      </c>
    </row>
    <row r="61" spans="1:3" x14ac:dyDescent="0.35">
      <c r="B61" s="17" t="s">
        <v>413</v>
      </c>
      <c r="C61">
        <v>1</v>
      </c>
    </row>
    <row r="62" spans="1:3" x14ac:dyDescent="0.35">
      <c r="B62" s="17" t="s">
        <v>410</v>
      </c>
      <c r="C62">
        <v>2</v>
      </c>
    </row>
    <row r="63" spans="1:3" x14ac:dyDescent="0.35">
      <c r="B63" s="17" t="s">
        <v>409</v>
      </c>
      <c r="C63">
        <v>1</v>
      </c>
    </row>
    <row r="64" spans="1:3" x14ac:dyDescent="0.35">
      <c r="B64" s="15" t="s">
        <v>417</v>
      </c>
      <c r="C64">
        <v>5</v>
      </c>
    </row>
    <row r="65" spans="1:3" x14ac:dyDescent="0.35">
      <c r="B65" s="17" t="s">
        <v>410</v>
      </c>
      <c r="C65">
        <v>2</v>
      </c>
    </row>
    <row r="66" spans="1:3" x14ac:dyDescent="0.35">
      <c r="B66" s="17" t="s">
        <v>411</v>
      </c>
      <c r="C66">
        <v>1</v>
      </c>
    </row>
    <row r="67" spans="1:3" x14ac:dyDescent="0.35">
      <c r="B67" s="17" t="s">
        <v>409</v>
      </c>
      <c r="C67">
        <v>2</v>
      </c>
    </row>
    <row r="68" spans="1:3" x14ac:dyDescent="0.35">
      <c r="B68" s="15" t="s">
        <v>375</v>
      </c>
      <c r="C68">
        <v>9</v>
      </c>
    </row>
    <row r="70" spans="1:3" x14ac:dyDescent="0.35">
      <c r="A70" t="s">
        <v>433</v>
      </c>
    </row>
    <row r="71" spans="1:3" x14ac:dyDescent="0.35">
      <c r="A71" t="s">
        <v>110</v>
      </c>
    </row>
    <row r="72" spans="1:3" x14ac:dyDescent="0.35">
      <c r="B72" s="14" t="s">
        <v>374</v>
      </c>
      <c r="C72" t="s">
        <v>429</v>
      </c>
    </row>
    <row r="73" spans="1:3" x14ac:dyDescent="0.35">
      <c r="B73" s="15" t="s">
        <v>416</v>
      </c>
      <c r="C73" s="12">
        <v>30531</v>
      </c>
    </row>
    <row r="74" spans="1:3" x14ac:dyDescent="0.35">
      <c r="B74" s="17" t="s">
        <v>413</v>
      </c>
      <c r="C74" s="12">
        <v>1161</v>
      </c>
    </row>
    <row r="75" spans="1:3" x14ac:dyDescent="0.35">
      <c r="B75" s="17" t="s">
        <v>410</v>
      </c>
      <c r="C75" s="12">
        <v>7315</v>
      </c>
    </row>
    <row r="76" spans="1:3" x14ac:dyDescent="0.35">
      <c r="B76" s="17" t="s">
        <v>411</v>
      </c>
      <c r="C76" s="12">
        <v>7163</v>
      </c>
    </row>
    <row r="77" spans="1:3" x14ac:dyDescent="0.35">
      <c r="B77" s="17" t="s">
        <v>409</v>
      </c>
      <c r="C77" s="12">
        <v>7012</v>
      </c>
    </row>
    <row r="78" spans="1:3" x14ac:dyDescent="0.35">
      <c r="B78" s="17" t="s">
        <v>408</v>
      </c>
      <c r="C78" s="12">
        <v>4270</v>
      </c>
    </row>
    <row r="79" spans="1:3" x14ac:dyDescent="0.35">
      <c r="B79" s="17" t="s">
        <v>412</v>
      </c>
      <c r="C79" s="12">
        <v>3610</v>
      </c>
    </row>
    <row r="80" spans="1:3" x14ac:dyDescent="0.35">
      <c r="B80" s="15" t="s">
        <v>375</v>
      </c>
      <c r="C80" s="12">
        <v>30531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419C0-45D5-40FB-A425-C2E690AA7234}">
  <dimension ref="A1:D28"/>
  <sheetViews>
    <sheetView topLeftCell="A23" workbookViewId="0">
      <selection activeCell="B29" sqref="B29"/>
    </sheetView>
  </sheetViews>
  <sheetFormatPr defaultRowHeight="14.5" x14ac:dyDescent="0.35"/>
  <cols>
    <col min="3" max="3" width="14.81640625" customWidth="1"/>
  </cols>
  <sheetData>
    <row r="1" spans="1:4" x14ac:dyDescent="0.35">
      <c r="A1" t="s">
        <v>434</v>
      </c>
    </row>
    <row r="3" spans="1:4" x14ac:dyDescent="0.35">
      <c r="A3" s="1" t="s">
        <v>194</v>
      </c>
      <c r="B3" s="1" t="s">
        <v>443</v>
      </c>
      <c r="C3" s="1" t="s">
        <v>366</v>
      </c>
      <c r="D3" s="1" t="s">
        <v>446</v>
      </c>
    </row>
    <row r="4" spans="1:4" x14ac:dyDescent="0.35">
      <c r="A4" s="1" t="s">
        <v>435</v>
      </c>
      <c r="B4" s="1" t="s">
        <v>444</v>
      </c>
      <c r="C4" s="1" t="s">
        <v>416</v>
      </c>
      <c r="D4" s="1">
        <v>74</v>
      </c>
    </row>
    <row r="5" spans="1:4" x14ac:dyDescent="0.35">
      <c r="A5" s="1" t="s">
        <v>436</v>
      </c>
      <c r="B5" s="1" t="s">
        <v>445</v>
      </c>
      <c r="C5" s="1" t="s">
        <v>417</v>
      </c>
      <c r="D5" s="1">
        <v>92</v>
      </c>
    </row>
    <row r="6" spans="1:4" x14ac:dyDescent="0.35">
      <c r="A6" s="1" t="s">
        <v>437</v>
      </c>
      <c r="B6" s="1" t="s">
        <v>444</v>
      </c>
      <c r="C6" s="1" t="s">
        <v>416</v>
      </c>
      <c r="D6" s="1">
        <v>65</v>
      </c>
    </row>
    <row r="7" spans="1:4" x14ac:dyDescent="0.35">
      <c r="A7" s="1" t="s">
        <v>438</v>
      </c>
      <c r="B7" s="1" t="s">
        <v>445</v>
      </c>
      <c r="C7" s="1" t="s">
        <v>418</v>
      </c>
      <c r="D7" s="1">
        <v>82</v>
      </c>
    </row>
    <row r="8" spans="1:4" x14ac:dyDescent="0.35">
      <c r="A8" s="1" t="s">
        <v>439</v>
      </c>
      <c r="B8" s="1" t="s">
        <v>445</v>
      </c>
      <c r="C8" s="1" t="s">
        <v>420</v>
      </c>
      <c r="D8" s="1">
        <v>50</v>
      </c>
    </row>
    <row r="9" spans="1:4" x14ac:dyDescent="0.35">
      <c r="A9" s="1" t="s">
        <v>440</v>
      </c>
      <c r="B9" s="1" t="s">
        <v>445</v>
      </c>
      <c r="C9" s="1" t="s">
        <v>418</v>
      </c>
      <c r="D9" s="1">
        <v>91</v>
      </c>
    </row>
    <row r="10" spans="1:4" x14ac:dyDescent="0.35">
      <c r="A10" s="1" t="s">
        <v>197</v>
      </c>
      <c r="B10" s="1" t="s">
        <v>445</v>
      </c>
      <c r="C10" s="1" t="s">
        <v>416</v>
      </c>
      <c r="D10" s="1">
        <v>96</v>
      </c>
    </row>
    <row r="11" spans="1:4" x14ac:dyDescent="0.35">
      <c r="A11" s="1" t="s">
        <v>441</v>
      </c>
      <c r="B11" s="1" t="s">
        <v>444</v>
      </c>
      <c r="C11" s="1" t="s">
        <v>416</v>
      </c>
      <c r="D11" s="1">
        <v>58</v>
      </c>
    </row>
    <row r="12" spans="1:4" x14ac:dyDescent="0.35">
      <c r="A12" s="1" t="s">
        <v>235</v>
      </c>
      <c r="B12" s="1" t="s">
        <v>444</v>
      </c>
      <c r="C12" s="1" t="s">
        <v>418</v>
      </c>
      <c r="D12" s="1">
        <v>67</v>
      </c>
    </row>
    <row r="13" spans="1:4" x14ac:dyDescent="0.35">
      <c r="A13" s="1" t="s">
        <v>442</v>
      </c>
      <c r="B13" s="1" t="s">
        <v>445</v>
      </c>
      <c r="C13" s="1" t="s">
        <v>417</v>
      </c>
      <c r="D13" s="1">
        <v>54</v>
      </c>
    </row>
    <row r="14" spans="1:4" x14ac:dyDescent="0.35">
      <c r="A14" s="1" t="s">
        <v>198</v>
      </c>
      <c r="B14" s="1" t="s">
        <v>444</v>
      </c>
      <c r="C14" s="1" t="s">
        <v>416</v>
      </c>
      <c r="D14" s="1">
        <v>83</v>
      </c>
    </row>
    <row r="16" spans="1:4" x14ac:dyDescent="0.35">
      <c r="A16" t="s">
        <v>447</v>
      </c>
    </row>
    <row r="17" spans="1:3" x14ac:dyDescent="0.35">
      <c r="A17" t="s">
        <v>110</v>
      </c>
      <c r="B17" t="s">
        <v>444</v>
      </c>
      <c r="C17">
        <f>COUNTIF(B4:B14,"Female")</f>
        <v>6</v>
      </c>
    </row>
    <row r="18" spans="1:3" x14ac:dyDescent="0.35">
      <c r="B18" t="s">
        <v>445</v>
      </c>
      <c r="C18">
        <f>COUNTIF(B4:B14,"Male")</f>
        <v>5</v>
      </c>
    </row>
    <row r="19" spans="1:3" x14ac:dyDescent="0.35">
      <c r="A19" t="s">
        <v>448</v>
      </c>
    </row>
    <row r="20" spans="1:3" x14ac:dyDescent="0.35">
      <c r="A20" t="s">
        <v>56</v>
      </c>
      <c r="B20">
        <f>COUNTIFS(B4:B14,"Male",C4:C14,"United States")</f>
        <v>4</v>
      </c>
    </row>
    <row r="21" spans="1:3" x14ac:dyDescent="0.35">
      <c r="A21" t="s">
        <v>449</v>
      </c>
    </row>
    <row r="22" spans="1:3" x14ac:dyDescent="0.35">
      <c r="A22" t="s">
        <v>56</v>
      </c>
      <c r="B22" t="s">
        <v>438</v>
      </c>
      <c r="C22" t="str">
        <f>VLOOKUP(B22,A3:D14,3,FALSE)</f>
        <v>Canada</v>
      </c>
    </row>
    <row r="23" spans="1:3" x14ac:dyDescent="0.35">
      <c r="B23" t="s">
        <v>235</v>
      </c>
      <c r="C23" t="str">
        <f>VLOOKUP(B23,A3:D14,3,FALSE)</f>
        <v>Canada</v>
      </c>
    </row>
    <row r="24" spans="1:3" x14ac:dyDescent="0.35">
      <c r="A24" t="s">
        <v>450</v>
      </c>
    </row>
    <row r="25" spans="1:3" x14ac:dyDescent="0.35">
      <c r="A25" t="s">
        <v>56</v>
      </c>
      <c r="B25" t="s">
        <v>444</v>
      </c>
      <c r="C25">
        <f>SUMIFS(D4:D14,B4:B14,"Male",C4:C14,"United States")</f>
        <v>280</v>
      </c>
    </row>
    <row r="26" spans="1:3" x14ac:dyDescent="0.35">
      <c r="B26" t="s">
        <v>445</v>
      </c>
      <c r="C26">
        <f>SUMIFS(D4:D14,B4:B14,"Male",C4:C14,"United States")</f>
        <v>280</v>
      </c>
    </row>
    <row r="27" spans="1:3" x14ac:dyDescent="0.35">
      <c r="A27" t="s">
        <v>451</v>
      </c>
    </row>
    <row r="28" spans="1:3" x14ac:dyDescent="0.35">
      <c r="A28" t="s">
        <v>56</v>
      </c>
      <c r="B28">
        <f>COUNTIFS(B4:B14,"Male",C4:C14,"United States")</f>
        <v>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EC6D5-23F3-4A04-9C10-149D43C63645}">
  <dimension ref="A1:C21"/>
  <sheetViews>
    <sheetView tabSelected="1" topLeftCell="A4" workbookViewId="0">
      <selection activeCell="A11" sqref="A11:C21"/>
    </sheetView>
  </sheetViews>
  <sheetFormatPr defaultRowHeight="14.5" x14ac:dyDescent="0.35"/>
  <sheetData>
    <row r="1" spans="1:3" x14ac:dyDescent="0.35">
      <c r="A1" t="s">
        <v>452</v>
      </c>
    </row>
    <row r="3" spans="1:3" x14ac:dyDescent="0.35">
      <c r="A3" s="1" t="s">
        <v>453</v>
      </c>
      <c r="B3" s="1" t="s">
        <v>454</v>
      </c>
      <c r="C3" s="1" t="s">
        <v>407</v>
      </c>
    </row>
    <row r="4" spans="1:3" x14ac:dyDescent="0.35">
      <c r="A4" s="1">
        <v>101</v>
      </c>
      <c r="B4" s="1" t="s">
        <v>455</v>
      </c>
      <c r="C4" s="1" t="s">
        <v>458</v>
      </c>
    </row>
    <row r="5" spans="1:3" x14ac:dyDescent="0.35">
      <c r="A5" s="1">
        <v>102</v>
      </c>
      <c r="B5" s="1" t="s">
        <v>456</v>
      </c>
      <c r="C5" s="1" t="s">
        <v>459</v>
      </c>
    </row>
    <row r="6" spans="1:3" x14ac:dyDescent="0.35">
      <c r="A6" s="1">
        <v>103</v>
      </c>
      <c r="B6" s="1" t="s">
        <v>456</v>
      </c>
      <c r="C6" s="1" t="s">
        <v>460</v>
      </c>
    </row>
    <row r="7" spans="1:3" x14ac:dyDescent="0.35">
      <c r="A7" s="1">
        <v>104</v>
      </c>
      <c r="B7" s="1" t="s">
        <v>457</v>
      </c>
      <c r="C7" s="1" t="s">
        <v>461</v>
      </c>
    </row>
    <row r="9" spans="1:3" x14ac:dyDescent="0.35">
      <c r="A9" t="s">
        <v>462</v>
      </c>
    </row>
    <row r="11" spans="1:3" x14ac:dyDescent="0.35">
      <c r="A11" s="1" t="s">
        <v>453</v>
      </c>
      <c r="B11" s="1" t="s">
        <v>454</v>
      </c>
      <c r="C11" s="1" t="s">
        <v>407</v>
      </c>
    </row>
    <row r="12" spans="1:3" x14ac:dyDescent="0.35">
      <c r="A12" s="1">
        <v>104</v>
      </c>
      <c r="B12" s="1" t="s">
        <v>457</v>
      </c>
      <c r="C12" s="1" t="s">
        <v>461</v>
      </c>
    </row>
    <row r="13" spans="1:3" x14ac:dyDescent="0.35">
      <c r="A13" s="1">
        <v>103</v>
      </c>
      <c r="B13" s="1" t="str">
        <f>VLOOKUP(A13,$A$3:$C$7,2,FALSE)</f>
        <v>Logitech</v>
      </c>
      <c r="C13" s="1" t="str">
        <f>VLOOKUP(A13,$A$3:$C$7,3,FALSE)</f>
        <v>Mouse</v>
      </c>
    </row>
    <row r="14" spans="1:3" x14ac:dyDescent="0.35">
      <c r="A14" s="1">
        <v>104</v>
      </c>
      <c r="B14" s="1" t="str">
        <f t="shared" ref="B14:B21" si="0">VLOOKUP(A14,$A$3:$C$7,2,FALSE)</f>
        <v>HP</v>
      </c>
      <c r="C14" s="1" t="str">
        <f t="shared" ref="C14:C21" si="1">VLOOKUP(A14,$A$3:$C$7,3,FALSE)</f>
        <v>Printer</v>
      </c>
    </row>
    <row r="15" spans="1:3" x14ac:dyDescent="0.35">
      <c r="A15" s="1">
        <v>101</v>
      </c>
      <c r="B15" s="1" t="str">
        <f t="shared" si="0"/>
        <v>Dell</v>
      </c>
      <c r="C15" s="1" t="str">
        <f t="shared" si="1"/>
        <v>Computer</v>
      </c>
    </row>
    <row r="16" spans="1:3" x14ac:dyDescent="0.35">
      <c r="A16" s="1">
        <v>102</v>
      </c>
      <c r="B16" s="1" t="str">
        <f t="shared" si="0"/>
        <v>Logitech</v>
      </c>
      <c r="C16" s="1" t="str">
        <f t="shared" si="1"/>
        <v>Keyboard</v>
      </c>
    </row>
    <row r="17" spans="1:3" x14ac:dyDescent="0.35">
      <c r="A17" s="1">
        <v>103</v>
      </c>
      <c r="B17" s="1" t="str">
        <f t="shared" si="0"/>
        <v>Logitech</v>
      </c>
      <c r="C17" s="1" t="str">
        <f t="shared" si="1"/>
        <v>Mouse</v>
      </c>
    </row>
    <row r="18" spans="1:3" x14ac:dyDescent="0.35">
      <c r="A18" s="1">
        <v>101</v>
      </c>
      <c r="B18" s="1" t="str">
        <f t="shared" si="0"/>
        <v>Dell</v>
      </c>
      <c r="C18" s="1" t="str">
        <f t="shared" si="1"/>
        <v>Computer</v>
      </c>
    </row>
    <row r="19" spans="1:3" x14ac:dyDescent="0.35">
      <c r="A19" s="1">
        <v>104</v>
      </c>
      <c r="B19" s="1" t="str">
        <f t="shared" si="0"/>
        <v>HP</v>
      </c>
      <c r="C19" s="1" t="str">
        <f t="shared" si="1"/>
        <v>Printer</v>
      </c>
    </row>
    <row r="20" spans="1:3" x14ac:dyDescent="0.35">
      <c r="A20" s="1">
        <v>101</v>
      </c>
      <c r="B20" s="1" t="str">
        <f t="shared" si="0"/>
        <v>Dell</v>
      </c>
      <c r="C20" s="1" t="str">
        <f t="shared" si="1"/>
        <v>Computer</v>
      </c>
    </row>
    <row r="21" spans="1:3" x14ac:dyDescent="0.35">
      <c r="A21" s="1">
        <v>102</v>
      </c>
      <c r="B21" s="1" t="str">
        <f t="shared" si="0"/>
        <v>Logitech</v>
      </c>
      <c r="C21" s="1" t="str">
        <f t="shared" si="1"/>
        <v>Keyboard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34F97-8F07-4371-8BDD-2CB190A32686}">
  <dimension ref="A1:E19"/>
  <sheetViews>
    <sheetView workbookViewId="0">
      <selection activeCell="A9" sqref="A9:C19"/>
    </sheetView>
  </sheetViews>
  <sheetFormatPr defaultRowHeight="14.5" x14ac:dyDescent="0.35"/>
  <sheetData>
    <row r="1" spans="1:5" x14ac:dyDescent="0.35">
      <c r="A1" t="s">
        <v>463</v>
      </c>
    </row>
    <row r="3" spans="1:5" x14ac:dyDescent="0.35">
      <c r="A3" s="1" t="s">
        <v>453</v>
      </c>
      <c r="B3" s="1">
        <v>101</v>
      </c>
      <c r="C3" s="1">
        <v>102</v>
      </c>
      <c r="D3" s="1">
        <v>103</v>
      </c>
      <c r="E3" s="1">
        <v>104</v>
      </c>
    </row>
    <row r="4" spans="1:5" x14ac:dyDescent="0.35">
      <c r="A4" s="1" t="s">
        <v>454</v>
      </c>
      <c r="B4" s="1" t="s">
        <v>455</v>
      </c>
      <c r="C4" s="1" t="s">
        <v>456</v>
      </c>
      <c r="D4" s="1" t="s">
        <v>456</v>
      </c>
      <c r="E4" s="1" t="s">
        <v>457</v>
      </c>
    </row>
    <row r="5" spans="1:5" x14ac:dyDescent="0.35">
      <c r="A5" s="1" t="s">
        <v>407</v>
      </c>
      <c r="B5" s="1" t="s">
        <v>458</v>
      </c>
      <c r="C5" s="1" t="s">
        <v>464</v>
      </c>
      <c r="D5" s="1" t="s">
        <v>460</v>
      </c>
      <c r="E5" s="1" t="s">
        <v>461</v>
      </c>
    </row>
    <row r="7" spans="1:5" x14ac:dyDescent="0.35">
      <c r="A7" t="s">
        <v>465</v>
      </c>
    </row>
    <row r="9" spans="1:5" x14ac:dyDescent="0.35">
      <c r="A9" s="1" t="s">
        <v>466</v>
      </c>
      <c r="B9" s="1" t="s">
        <v>467</v>
      </c>
      <c r="C9" s="1" t="s">
        <v>454</v>
      </c>
    </row>
    <row r="10" spans="1:5" x14ac:dyDescent="0.35">
      <c r="A10" s="1">
        <v>104</v>
      </c>
      <c r="B10" s="1" t="s">
        <v>461</v>
      </c>
      <c r="C10" s="1" t="s">
        <v>457</v>
      </c>
    </row>
    <row r="11" spans="1:5" x14ac:dyDescent="0.35">
      <c r="A11" s="1">
        <v>103</v>
      </c>
      <c r="B11" s="1" t="str">
        <f>HLOOKUP(A11,$A$3:$E$5,3,FALSE)</f>
        <v>Mouse</v>
      </c>
      <c r="C11" s="1" t="str">
        <f>HLOOKUP(A11,$A$3:$E$5,2,FALSE)</f>
        <v>Logitech</v>
      </c>
    </row>
    <row r="12" spans="1:5" x14ac:dyDescent="0.35">
      <c r="A12" s="1">
        <v>104</v>
      </c>
      <c r="B12" s="1" t="str">
        <f t="shared" ref="B12:B19" si="0">HLOOKUP(A12,$A$3:$E$5,3,FALSE)</f>
        <v>Printer</v>
      </c>
      <c r="C12" s="1" t="str">
        <f t="shared" ref="C12:C19" si="1">HLOOKUP(A12,$A$3:$E$5,2,FALSE)</f>
        <v>HP</v>
      </c>
    </row>
    <row r="13" spans="1:5" x14ac:dyDescent="0.35">
      <c r="A13" s="1">
        <v>101</v>
      </c>
      <c r="B13" s="1" t="str">
        <f t="shared" si="0"/>
        <v>Computer</v>
      </c>
      <c r="C13" s="1" t="str">
        <f t="shared" si="1"/>
        <v>Dell</v>
      </c>
    </row>
    <row r="14" spans="1:5" x14ac:dyDescent="0.35">
      <c r="A14" s="1">
        <v>102</v>
      </c>
      <c r="B14" s="1" t="str">
        <f t="shared" si="0"/>
        <v>keyboard</v>
      </c>
      <c r="C14" s="1" t="str">
        <f t="shared" si="1"/>
        <v>Logitech</v>
      </c>
    </row>
    <row r="15" spans="1:5" x14ac:dyDescent="0.35">
      <c r="A15" s="1">
        <v>103</v>
      </c>
      <c r="B15" s="1" t="str">
        <f t="shared" si="0"/>
        <v>Mouse</v>
      </c>
      <c r="C15" s="1" t="str">
        <f t="shared" si="1"/>
        <v>Logitech</v>
      </c>
    </row>
    <row r="16" spans="1:5" x14ac:dyDescent="0.35">
      <c r="A16" s="1">
        <v>101</v>
      </c>
      <c r="B16" s="1" t="str">
        <f t="shared" si="0"/>
        <v>Computer</v>
      </c>
      <c r="C16" s="1" t="str">
        <f t="shared" si="1"/>
        <v>Dell</v>
      </c>
    </row>
    <row r="17" spans="1:3" x14ac:dyDescent="0.35">
      <c r="A17" s="1">
        <v>104</v>
      </c>
      <c r="B17" s="1" t="str">
        <f t="shared" si="0"/>
        <v>Printer</v>
      </c>
      <c r="C17" s="1" t="str">
        <f t="shared" si="1"/>
        <v>HP</v>
      </c>
    </row>
    <row r="18" spans="1:3" x14ac:dyDescent="0.35">
      <c r="A18" s="1">
        <v>101</v>
      </c>
      <c r="B18" s="1" t="str">
        <f t="shared" si="0"/>
        <v>Computer</v>
      </c>
      <c r="C18" s="1" t="str">
        <f t="shared" si="1"/>
        <v>Dell</v>
      </c>
    </row>
    <row r="19" spans="1:3" x14ac:dyDescent="0.35">
      <c r="A19" s="1">
        <v>102</v>
      </c>
      <c r="B19" s="1" t="str">
        <f t="shared" si="0"/>
        <v>keyboard</v>
      </c>
      <c r="C19" s="1" t="str">
        <f t="shared" si="1"/>
        <v>Logitech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Assignment-1</vt:lpstr>
      <vt:lpstr>Assignment-2</vt:lpstr>
      <vt:lpstr>Assignment-3</vt:lpstr>
      <vt:lpstr>Assignment-4</vt:lpstr>
      <vt:lpstr>Assignment-5</vt:lpstr>
      <vt:lpstr>Assignment-6</vt:lpstr>
      <vt:lpstr>Assignment-7</vt:lpstr>
      <vt:lpstr>Assignment-8</vt:lpstr>
      <vt:lpstr>Assignment-9</vt:lpstr>
      <vt:lpstr>Assignment-10</vt:lpstr>
      <vt:lpstr>Assignment-11</vt:lpstr>
      <vt:lpstr>Assignment-12</vt:lpstr>
      <vt:lpstr>Assignment-13</vt:lpstr>
      <vt:lpstr>Assignment-14</vt:lpstr>
      <vt:lpstr>Assignment-15</vt:lpstr>
      <vt:lpstr>Assignment-16</vt:lpstr>
      <vt:lpstr>Assignment-17</vt:lpstr>
      <vt:lpstr>Assignment-18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Ravindra Pal</dc:creator>
  <cp:lastModifiedBy>Ravindra Pal</cp:lastModifiedBy>
  <dcterms:created xsi:type="dcterms:W3CDTF">2026-07-01T14:24:54Z</dcterms:created>
  <dcterms:modified xsi:type="dcterms:W3CDTF">2026-07-23T17:33:42Z</dcterms:modified>
</cp:coreProperties>
</file>