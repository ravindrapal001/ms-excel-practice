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11D80861-B8A8-4EDF-9EF8-664573CA87C9}" xr6:coauthVersionLast="47" xr6:coauthVersionMax="47" xr10:uidLastSave="{00000000-0000-0000-0000-000000000000}"/>
  <bookViews>
    <workbookView xWindow="-110" yWindow="-110" windowWidth="19420" windowHeight="10300" firstSheet="3" activeTab="7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  <sheet name="Assignment-7" sheetId="7" r:id="rId7"/>
    <sheet name="Assignment-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6" i="8" l="1"/>
  <c r="C25" i="8"/>
  <c r="G6" i="8"/>
  <c r="G7" i="8"/>
  <c r="G8" i="8"/>
  <c r="G9" i="8"/>
  <c r="G10" i="8"/>
  <c r="G11" i="8"/>
  <c r="G12" i="8"/>
  <c r="G13" i="8"/>
  <c r="G14" i="8"/>
  <c r="G5" i="8"/>
  <c r="C22" i="8"/>
  <c r="C21" i="8"/>
  <c r="B19" i="8"/>
  <c r="B17" i="8"/>
  <c r="F6" i="8"/>
  <c r="F7" i="8"/>
  <c r="F8" i="8"/>
  <c r="F9" i="8"/>
  <c r="F10" i="8"/>
  <c r="F11" i="8"/>
  <c r="F12" i="8"/>
  <c r="F13" i="8"/>
  <c r="F14" i="8"/>
  <c r="F5" i="8"/>
  <c r="E6" i="8"/>
  <c r="E7" i="8"/>
  <c r="E8" i="8"/>
  <c r="E9" i="8"/>
  <c r="E10" i="8"/>
  <c r="E11" i="8"/>
  <c r="E12" i="8"/>
  <c r="E13" i="8"/>
  <c r="E14" i="8"/>
  <c r="E5" i="8"/>
  <c r="C5" i="7"/>
  <c r="C6" i="7"/>
  <c r="C7" i="7"/>
  <c r="C8" i="7"/>
  <c r="C9" i="7"/>
  <c r="C10" i="7"/>
  <c r="C11" i="7"/>
  <c r="C12" i="7"/>
  <c r="C13" i="7"/>
  <c r="C14" i="7"/>
  <c r="C4" i="7"/>
  <c r="D5" i="7"/>
  <c r="D6" i="7"/>
  <c r="D7" i="7"/>
  <c r="D8" i="7"/>
  <c r="D9" i="7"/>
  <c r="D10" i="7"/>
  <c r="D11" i="7"/>
  <c r="D12" i="7"/>
  <c r="D13" i="7"/>
  <c r="D14" i="7"/>
  <c r="D4" i="7"/>
  <c r="E5" i="7"/>
  <c r="E6" i="7"/>
  <c r="E7" i="7"/>
  <c r="E8" i="7"/>
  <c r="E9" i="7"/>
  <c r="E10" i="7"/>
  <c r="E11" i="7"/>
  <c r="E12" i="7"/>
  <c r="E13" i="7"/>
  <c r="E14" i="7"/>
  <c r="E4" i="7"/>
  <c r="F5" i="7"/>
  <c r="G5" i="7" s="1"/>
  <c r="F6" i="7"/>
  <c r="G6" i="7" s="1"/>
  <c r="F7" i="7"/>
  <c r="G7" i="7" s="1"/>
  <c r="F8" i="7"/>
  <c r="G8" i="7" s="1"/>
  <c r="F9" i="7"/>
  <c r="G9" i="7" s="1"/>
  <c r="F10" i="7"/>
  <c r="G10" i="7" s="1"/>
  <c r="F11" i="7"/>
  <c r="G11" i="7" s="1"/>
  <c r="F12" i="7"/>
  <c r="G12" i="7" s="1"/>
  <c r="F13" i="7"/>
  <c r="B19" i="7" s="1"/>
  <c r="F14" i="7"/>
  <c r="G14" i="7" s="1"/>
  <c r="F4" i="7"/>
  <c r="G4" i="7" s="1"/>
  <c r="B17" i="7"/>
  <c r="C40" i="6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B24" i="7" l="1"/>
  <c r="G13" i="7"/>
  <c r="B21" i="7"/>
  <c r="C23" i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<sst xmlns="http://schemas.openxmlformats.org/spreadsheetml/2006/main" count="296" uniqueCount="219">
  <si>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</si>
  <si>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</si>
  <si>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</si>
  <si>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</si>
  <si>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</si>
  <si>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</si>
  <si>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</si>
  <si>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</si>
  <si>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</si>
  <si>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</si>
  <si>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</si>
  <si>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</si>
  <si>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</si>
  <si>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</si>
  <si>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</si>
  <si>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</si>
  <si>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</si>
  <si>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</si>
  <si>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</si>
  <si>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</si>
  <si>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</si>
  <si>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</si>
  <si>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</si>
  <si>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</si>
  <si>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</si>
  <si>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</si>
  <si>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</si>
  <si>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</si>
  <si>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</si>
  <si>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</si>
  <si>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</si>
  <si>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</si>
  <si>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</si>
  <si>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</si>
  <si>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</si>
  <si>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</si>
  <si>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</si>
  <si>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</si>
  <si>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</si>
  <si>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</si>
  <si>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</si>
  <si>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</si>
  <si>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</si>
  <si>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</si>
  <si>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</si>
  <si>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</si>
  <si>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</si>
  <si>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</si>
  <si>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</si>
  <si>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</si>
  <si>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</si>
  <si>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</si>
  <si>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</si>
  <si>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</si>
  <si>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</si>
  <si>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</si>
  <si>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</si>
  <si>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</si>
  <si>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</si>
  <si>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</si>
  <si>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</si>
  <si>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</si>
  <si>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</si>
  <si>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</si>
  <si>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</si>
  <si>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</si>
  <si>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</si>
  <si>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</si>
  <si>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</si>
  <si>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</si>
  <si>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</si>
  <si>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</si>
  <si>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</si>
  <si>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</si>
  <si>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</si>
  <si>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</si>
  <si>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</si>
  <si>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</si>
  <si>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</si>
  <si>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</si>
  <si>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</si>
  <si>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</si>
  <si>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</si>
  <si>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</si>
  <si>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</si>
  <si>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</si>
  <si>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</si>
  <si>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</si>
  <si>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</si>
  <si>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</si>
  <si>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</si>
  <si>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</si>
  <si>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</si>
  <si>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</si>
  <si>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</si>
  <si>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</si>
  <si>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</si>
  <si>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</si>
  <si>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</si>
  <si>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</si>
  <si>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</si>
  <si>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</si>
  <si>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</si>
  <si>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</si>
  <si>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</si>
  <si>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</si>
  <si>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</si>
  <si>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</si>
  <si>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</si>
  <si>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</si>
  <si>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</si>
  <si>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</si>
  <si>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</si>
  <si>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</si>
  <si>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</si>
  <si>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</si>
  <si>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</si>
  <si>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</si>
  <si>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</si>
  <si>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</si>
  <si>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</si>
  <si>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</si>
  <si>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</si>
  <si>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</si>
  <si>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</si>
  <si>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</si>
  <si>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</si>
  <si>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</si>
  <si>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</si>
  <si>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</si>
  <si>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</si>
  <si>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</si>
  <si>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</si>
  <si>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</si>
  <si>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</si>
  <si>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</si>
  <si>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</si>
  <si>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</si>
  <si>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</si>
  <si>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</si>
  <si>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</si>
  <si>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</si>
  <si>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</si>
  <si>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</si>
  <si>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</si>
  <si>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</si>
  <si>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</si>
  <si>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</si>
  <si>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</si>
  <si>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</si>
  <si>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</si>
  <si>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</si>
  <si>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</si>
  <si>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</si>
  <si>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</si>
  <si>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</si>
  <si>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</si>
  <si>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</si>
  <si>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</si>
  <si>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</si>
  <si>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</si>
  <si>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</si>
  <si>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</si>
  <si>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</si>
  <si>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</si>
  <si>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</si>
  <si>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</si>
  <si>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</si>
  <si>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</si>
  <si>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</si>
  <si>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</si>
  <si>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</si>
  <si>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</si>
  <si>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</si>
  <si>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</si>
  <si>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</si>
  <si>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</si>
  <si>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</si>
  <si>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</si>
  <si>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</si>
  <si>
    <t>Use of Formulas- Counta, Countif, Sumif, If &amp; Dateif</t>
  </si>
  <si>
    <t>DATE OF BIRTH</t>
  </si>
  <si>
    <t>DAY</t>
  </si>
  <si>
    <t>MONTH</t>
  </si>
  <si>
    <t>YEAR</t>
  </si>
  <si>
    <t>Q.1: HOW MANY STUDENT?</t>
  </si>
  <si>
    <t>Q.2: STUDENT SURENDRA IS HOW MANY YEAR OLD?</t>
  </si>
  <si>
    <t>Q.3: HOW MANY STUDENT AGE GREATER THEN 20 YEARS?</t>
  </si>
  <si>
    <t>AGE</t>
  </si>
  <si>
    <t>Q.4: IF STUDENT AGE IS GREATER THEN 20 THEN STUDENT ADULT/CHILD?</t>
  </si>
  <si>
    <t>Q.5: HOW MANY STUDENT AGE IS &gt;=25 YEARS?</t>
  </si>
  <si>
    <t>ADULT/CHILD</t>
  </si>
  <si>
    <t>Use of Formuals-Sum, Average, Counta , Countif, Sumif &amp; If</t>
  </si>
  <si>
    <t>Student_Name</t>
  </si>
  <si>
    <t>Name</t>
  </si>
  <si>
    <t>Alan</t>
  </si>
  <si>
    <t>Bob</t>
  </si>
  <si>
    <t>Carol</t>
  </si>
  <si>
    <t>David</t>
  </si>
  <si>
    <t>Eric</t>
  </si>
  <si>
    <t>Fred</t>
  </si>
  <si>
    <t>Gail</t>
  </si>
  <si>
    <t>Harry</t>
  </si>
  <si>
    <t>Ian</t>
  </si>
  <si>
    <t>Janice</t>
  </si>
  <si>
    <t>Subject</t>
  </si>
  <si>
    <t>Maths</t>
  </si>
  <si>
    <t>oor</t>
  </si>
  <si>
    <t>Absent</t>
  </si>
  <si>
    <t>Percentage</t>
  </si>
  <si>
    <t>Q.1: How many students?</t>
  </si>
  <si>
    <t>Q.2: How many student percentage greater then&gt;50?</t>
  </si>
  <si>
    <t>Q.3: Student Bob and Eric Total Number?</t>
  </si>
  <si>
    <t>Bob_Total=</t>
  </si>
  <si>
    <t>Eric_Total=</t>
  </si>
  <si>
    <t>Q.4: If Percentage greater then&gt;70 then "Excellent", If Percentage greater then &gt;50,"Good", otherwise "Bed".</t>
  </si>
  <si>
    <t>Q.5: How many students good and bed in a list.</t>
  </si>
  <si>
    <t>Good_Students=</t>
  </si>
  <si>
    <t>Bed_Students=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</si>
</sst>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" fontId="0" fillId="0" borderId="0" xfId="0" applyNumberFormat="1"/>
    <xf numFmtId="1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1" applyFont="1" applyBorder="1"/>
  </cellXfs>
  <cellStyles count="2">
    <cellStyle name="Normal" xfId="0" builtinId="0"/>
    <cellStyle name="Percent" xfId="1" builtinId="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6" t="s">
        <v>1</v>
      </c>
      <c r="B1" s="6"/>
      <c r="C1" s="6"/>
      <c r="D1" s="6"/>
      <c r="E1" s="6"/>
    </row>
    <row r="2" spans="1:10" x14ac:dyDescent="0.35">
      <c r="A2" s="6" t="s">
        <v>0</v>
      </c>
      <c r="B2" s="6"/>
      <c r="C2" s="6"/>
      <c r="D2" s="6"/>
      <c r="E2" s="6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6" t="s">
        <v>37</v>
      </c>
      <c r="B1" s="6"/>
      <c r="C1" s="6"/>
      <c r="D1" s="6"/>
      <c r="E1" s="6"/>
    </row>
    <row r="2" spans="1:6" x14ac:dyDescent="0.35">
      <c r="A2" s="6" t="s">
        <v>38</v>
      </c>
      <c r="B2" s="6"/>
      <c r="C2" s="6"/>
      <c r="D2" s="6"/>
      <c r="E2" s="6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6" t="s">
        <v>66</v>
      </c>
      <c r="B1" s="6"/>
      <c r="C1" s="6"/>
      <c r="D1" s="6"/>
      <c r="E1" s="6"/>
      <c r="F1" s="6"/>
      <c r="G1" s="6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6" t="s">
        <v>122</v>
      </c>
      <c r="B1" s="6"/>
      <c r="C1" s="6"/>
      <c r="D1" s="6"/>
      <c r="E1" s="6"/>
      <c r="F1" s="6"/>
      <c r="G1" s="6"/>
      <c r="H1" s="6"/>
      <c r="I1" s="6"/>
      <c r="J1" s="6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</row>
    <row r="4" spans="1:8" x14ac:dyDescent="0.35">
      <c r="A4" s="1" t="s">
        <v>154</v>
      </c>
      <c r="B4" s="2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2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5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2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2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2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2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2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2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2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2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2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2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2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2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2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2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2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2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2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3CED-890F-4277-BA7C-EBAEF55336C4}">
  <dimension ref="A1:G24"/>
  <sheetViews>
    <sheetView workbookViewId="0">
      <selection sqref="A1:G1"/>
    </sheetView>
  </sheetViews>
  <sheetFormatPr defaultRowHeight="14.5" x14ac:dyDescent="0.35"/>
  <cols>
    <col min="1" max="1" width="10.90625" customWidth="1"/>
    <col min="2" max="2" width="16.1796875" customWidth="1"/>
    <col min="5" max="5" width="10.54296875" customWidth="1"/>
    <col min="6" max="6" width="10.08984375" style="4" bestFit="1" customWidth="1"/>
    <col min="7" max="7" width="12" customWidth="1"/>
  </cols>
  <sheetData>
    <row r="1" spans="1:7" x14ac:dyDescent="0.35">
      <c r="A1" s="6" t="s">
        <v>180</v>
      </c>
      <c r="B1" s="6"/>
      <c r="C1" s="6"/>
      <c r="D1" s="6"/>
      <c r="E1" s="6"/>
      <c r="F1" s="6"/>
      <c r="G1" s="6"/>
    </row>
    <row r="3" spans="1:7" x14ac:dyDescent="0.35">
      <c r="A3" s="1" t="s">
        <v>88</v>
      </c>
      <c r="B3" s="1" t="s">
        <v>181</v>
      </c>
      <c r="C3" s="1" t="s">
        <v>182</v>
      </c>
      <c r="D3" s="1" t="s">
        <v>183</v>
      </c>
      <c r="E3" s="1" t="s">
        <v>184</v>
      </c>
      <c r="F3" s="5" t="s">
        <v>188</v>
      </c>
      <c r="G3" s="1" t="s">
        <v>191</v>
      </c>
    </row>
    <row r="4" spans="1:7" x14ac:dyDescent="0.35">
      <c r="A4" s="1" t="s">
        <v>124</v>
      </c>
      <c r="B4" s="2">
        <v>29356</v>
      </c>
      <c r="C4" s="1">
        <f>DAY(B4)</f>
        <v>15</v>
      </c>
      <c r="D4" s="1">
        <f>MONTH(B4)</f>
        <v>5</v>
      </c>
      <c r="E4" s="5">
        <f>YEAR(B4)</f>
        <v>1980</v>
      </c>
      <c r="F4" s="5">
        <f ca="1">DATEDIF(B4,TODAY(),"Y")</f>
        <v>46</v>
      </c>
      <c r="G4" s="1" t="str">
        <f ca="1">IF(F4&gt;20,"ADULT","CHILD")</f>
        <v>ADULT</v>
      </c>
    </row>
    <row r="5" spans="1:7" x14ac:dyDescent="0.35">
      <c r="A5" s="1" t="s">
        <v>91</v>
      </c>
      <c r="B5" s="2">
        <v>29818</v>
      </c>
      <c r="C5" s="1">
        <f t="shared" ref="C5:C14" si="0">DAY(B5)</f>
        <v>20</v>
      </c>
      <c r="D5" s="1">
        <f t="shared" ref="D5:D14" si="1">MONTH(B5)</f>
        <v>8</v>
      </c>
      <c r="E5" s="5">
        <f t="shared" ref="E5:E14" si="2">YEAR(B5)</f>
        <v>1981</v>
      </c>
      <c r="F5" s="5">
        <f t="shared" ref="F5:F14" ca="1" si="3">DATEDIF(B5,TODAY(),"Y")</f>
        <v>44</v>
      </c>
      <c r="G5" s="1" t="str">
        <f t="shared" ref="G5:G14" ca="1" si="4">IF(F5&gt;20,"ADULT","CHILD")</f>
        <v>ADULT</v>
      </c>
    </row>
    <row r="6" spans="1:7" x14ac:dyDescent="0.35">
      <c r="A6" s="1" t="s">
        <v>90</v>
      </c>
      <c r="B6" s="2">
        <v>37909</v>
      </c>
      <c r="C6" s="1">
        <f t="shared" si="0"/>
        <v>15</v>
      </c>
      <c r="D6" s="1">
        <f t="shared" si="1"/>
        <v>10</v>
      </c>
      <c r="E6" s="5">
        <f t="shared" si="2"/>
        <v>2003</v>
      </c>
      <c r="F6" s="5">
        <f t="shared" ca="1" si="3"/>
        <v>22</v>
      </c>
      <c r="G6" s="1" t="str">
        <f t="shared" ca="1" si="4"/>
        <v>ADULT</v>
      </c>
    </row>
    <row r="7" spans="1:7" x14ac:dyDescent="0.35">
      <c r="A7" s="1" t="s">
        <v>10</v>
      </c>
      <c r="B7" s="2">
        <v>33018</v>
      </c>
      <c r="C7" s="1">
        <f t="shared" si="0"/>
        <v>25</v>
      </c>
      <c r="D7" s="1">
        <f t="shared" si="1"/>
        <v>5</v>
      </c>
      <c r="E7" s="5">
        <f t="shared" si="2"/>
        <v>1990</v>
      </c>
      <c r="F7" s="5">
        <f t="shared" ca="1" si="3"/>
        <v>36</v>
      </c>
      <c r="G7" s="1" t="str">
        <f t="shared" ca="1" si="4"/>
        <v>ADULT</v>
      </c>
    </row>
    <row r="8" spans="1:7" x14ac:dyDescent="0.35">
      <c r="A8" s="1" t="s">
        <v>7</v>
      </c>
      <c r="B8" s="2">
        <v>33840</v>
      </c>
      <c r="C8" s="1">
        <f t="shared" si="0"/>
        <v>24</v>
      </c>
      <c r="D8" s="1">
        <f t="shared" si="1"/>
        <v>8</v>
      </c>
      <c r="E8" s="5">
        <f t="shared" si="2"/>
        <v>1992</v>
      </c>
      <c r="F8" s="5">
        <f t="shared" ca="1" si="3"/>
        <v>33</v>
      </c>
      <c r="G8" s="1" t="str">
        <f t="shared" ca="1" si="4"/>
        <v>ADULT</v>
      </c>
    </row>
    <row r="9" spans="1:7" x14ac:dyDescent="0.35">
      <c r="A9" s="1" t="s">
        <v>6</v>
      </c>
      <c r="B9" s="2">
        <v>36030</v>
      </c>
      <c r="C9" s="1">
        <f t="shared" si="0"/>
        <v>23</v>
      </c>
      <c r="D9" s="1">
        <f t="shared" si="1"/>
        <v>8</v>
      </c>
      <c r="E9" s="5">
        <f t="shared" si="2"/>
        <v>1998</v>
      </c>
      <c r="F9" s="5">
        <f t="shared" ca="1" si="3"/>
        <v>27</v>
      </c>
      <c r="G9" s="1" t="str">
        <f t="shared" ca="1" si="4"/>
        <v>ADULT</v>
      </c>
    </row>
    <row r="10" spans="1:7" x14ac:dyDescent="0.35">
      <c r="A10" s="1" t="s">
        <v>125</v>
      </c>
      <c r="B10" s="2">
        <v>29353</v>
      </c>
      <c r="C10" s="1">
        <f t="shared" si="0"/>
        <v>12</v>
      </c>
      <c r="D10" s="1">
        <f t="shared" si="1"/>
        <v>5</v>
      </c>
      <c r="E10" s="5">
        <f t="shared" si="2"/>
        <v>1980</v>
      </c>
      <c r="F10" s="5">
        <f t="shared" ca="1" si="3"/>
        <v>46</v>
      </c>
      <c r="G10" s="1" t="str">
        <f t="shared" ca="1" si="4"/>
        <v>ADULT</v>
      </c>
    </row>
    <row r="11" spans="1:7" x14ac:dyDescent="0.35">
      <c r="A11" s="1" t="s">
        <v>126</v>
      </c>
      <c r="B11" s="2">
        <v>38429</v>
      </c>
      <c r="C11" s="1">
        <f t="shared" si="0"/>
        <v>18</v>
      </c>
      <c r="D11" s="1">
        <f t="shared" si="1"/>
        <v>3</v>
      </c>
      <c r="E11" s="5">
        <f t="shared" si="2"/>
        <v>2005</v>
      </c>
      <c r="F11" s="5">
        <f t="shared" ca="1" si="3"/>
        <v>21</v>
      </c>
      <c r="G11" s="1" t="str">
        <f t="shared" ca="1" si="4"/>
        <v>ADULT</v>
      </c>
    </row>
    <row r="12" spans="1:7" x14ac:dyDescent="0.35">
      <c r="A12" s="1" t="s">
        <v>127</v>
      </c>
      <c r="B12" s="2">
        <v>39309</v>
      </c>
      <c r="C12" s="1">
        <f t="shared" si="0"/>
        <v>15</v>
      </c>
      <c r="D12" s="1">
        <f t="shared" si="1"/>
        <v>8</v>
      </c>
      <c r="E12" s="5">
        <f t="shared" si="2"/>
        <v>2007</v>
      </c>
      <c r="F12" s="5">
        <f t="shared" ca="1" si="3"/>
        <v>18</v>
      </c>
      <c r="G12" s="1" t="str">
        <f t="shared" ca="1" si="4"/>
        <v>CHILD</v>
      </c>
    </row>
    <row r="13" spans="1:7" x14ac:dyDescent="0.35">
      <c r="A13" s="1" t="s">
        <v>128</v>
      </c>
      <c r="B13" s="2">
        <v>40323</v>
      </c>
      <c r="C13" s="1">
        <f t="shared" si="0"/>
        <v>25</v>
      </c>
      <c r="D13" s="1">
        <f t="shared" si="1"/>
        <v>5</v>
      </c>
      <c r="E13" s="5">
        <f t="shared" si="2"/>
        <v>2010</v>
      </c>
      <c r="F13" s="5">
        <f t="shared" ca="1" si="3"/>
        <v>16</v>
      </c>
      <c r="G13" s="1" t="str">
        <f t="shared" ca="1" si="4"/>
        <v>CHILD</v>
      </c>
    </row>
    <row r="14" spans="1:7" x14ac:dyDescent="0.35">
      <c r="A14" s="1" t="s">
        <v>129</v>
      </c>
      <c r="B14" s="2">
        <v>34206</v>
      </c>
      <c r="C14" s="1">
        <f t="shared" si="0"/>
        <v>25</v>
      </c>
      <c r="D14" s="1">
        <f t="shared" si="1"/>
        <v>8</v>
      </c>
      <c r="E14" s="5">
        <f t="shared" si="2"/>
        <v>1993</v>
      </c>
      <c r="F14" s="5">
        <f t="shared" ca="1" si="3"/>
        <v>32</v>
      </c>
      <c r="G14" s="1" t="str">
        <f t="shared" ca="1" si="4"/>
        <v>ADULT</v>
      </c>
    </row>
    <row r="16" spans="1:7" x14ac:dyDescent="0.35">
      <c r="A16" t="s">
        <v>185</v>
      </c>
    </row>
    <row r="17" spans="1:2" x14ac:dyDescent="0.35">
      <c r="A17" t="s">
        <v>56</v>
      </c>
      <c r="B17">
        <f>COUNTA(A4:A14)</f>
        <v>11</v>
      </c>
    </row>
    <row r="18" spans="1:2" x14ac:dyDescent="0.35">
      <c r="A18" t="s">
        <v>186</v>
      </c>
    </row>
    <row r="19" spans="1:2" x14ac:dyDescent="0.35">
      <c r="A19" t="s">
        <v>56</v>
      </c>
      <c r="B19" s="4">
        <f ca="1">F13</f>
        <v>16</v>
      </c>
    </row>
    <row r="20" spans="1:2" x14ac:dyDescent="0.35">
      <c r="A20" t="s">
        <v>187</v>
      </c>
    </row>
    <row r="21" spans="1:2" x14ac:dyDescent="0.35">
      <c r="A21" t="s">
        <v>56</v>
      </c>
      <c r="B21">
        <f ca="1">COUNTIF(F4:F14,"&gt;20")</f>
        <v>9</v>
      </c>
    </row>
    <row r="22" spans="1:2" x14ac:dyDescent="0.35">
      <c r="A22" t="s">
        <v>189</v>
      </c>
    </row>
    <row r="23" spans="1:2" x14ac:dyDescent="0.35">
      <c r="A23" t="s">
        <v>190</v>
      </c>
    </row>
    <row r="24" spans="1:2" x14ac:dyDescent="0.35">
      <c r="A24" t="s">
        <v>56</v>
      </c>
      <c r="B24">
        <f ca="1">COUNTIF(F4:F14,"&gt;=25")</f>
        <v>7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F0B-8946-47F2-9BCC-EFBCC2647886}">
  <dimension ref="A1:G26"/>
  <sheetViews>
    <sheetView tabSelected="1" workbookViewId="0">
      <selection activeCell="J11" sqref="J11"/>
    </sheetView>
  </sheetViews>
  <sheetFormatPr defaultRowHeight="14.5" x14ac:dyDescent="0.35"/>
  <cols>
    <col min="1" max="1" width="14.36328125" customWidth="1"/>
    <col min="2" max="2" width="15.6328125" customWidth="1"/>
    <col min="6" max="6" width="10.08984375" customWidth="1"/>
  </cols>
  <sheetData>
    <row r="1" spans="1:7" x14ac:dyDescent="0.35">
      <c r="A1" s="6" t="s">
        <v>192</v>
      </c>
      <c r="B1" s="6"/>
      <c r="C1" s="6"/>
      <c r="D1" s="6"/>
      <c r="E1" s="6"/>
      <c r="F1" s="6"/>
      <c r="G1" s="6"/>
    </row>
    <row r="3" spans="1:7" x14ac:dyDescent="0.35">
      <c r="A3" s="1" t="s">
        <v>193</v>
      </c>
      <c r="B3" s="7" t="s">
        <v>205</v>
      </c>
      <c r="C3" s="7"/>
      <c r="D3" s="7"/>
      <c r="E3" s="7" t="s">
        <v>146</v>
      </c>
      <c r="F3" s="7"/>
      <c r="G3" s="7"/>
    </row>
    <row r="4" spans="1:7" x14ac:dyDescent="0.35">
      <c r="A4" s="1" t="s">
        <v>194</v>
      </c>
      <c r="B4" s="1" t="s">
        <v>206</v>
      </c>
      <c r="C4" s="1" t="s">
        <v>16</v>
      </c>
      <c r="D4" s="1" t="s">
        <v>18</v>
      </c>
      <c r="E4" s="1" t="s">
        <v>20</v>
      </c>
      <c r="F4" s="1" t="s">
        <v>209</v>
      </c>
      <c r="G4" s="1" t="s">
        <v>24</v>
      </c>
    </row>
    <row r="5" spans="1:7" x14ac:dyDescent="0.35">
      <c r="A5" s="1" t="s">
        <v>195</v>
      </c>
      <c r="B5" s="1">
        <v>80</v>
      </c>
      <c r="C5" s="1">
        <v>75</v>
      </c>
      <c r="D5" s="1">
        <v>85</v>
      </c>
      <c r="E5" s="1">
        <f>SUM(B5:D5)</f>
        <v>240</v>
      </c>
      <c r="F5" s="8">
        <f>E5/300</f>
        <v>0.8</v>
      </c>
      <c r="G5" s="1" t="str">
        <f>IF(F5&gt;70%,"Excelent",IF(F5&gt;50%,"Good","Bed"))</f>
        <v>Excelent</v>
      </c>
    </row>
    <row r="6" spans="1:7" x14ac:dyDescent="0.35">
      <c r="A6" s="1" t="s">
        <v>196</v>
      </c>
      <c r="B6" s="1">
        <v>50</v>
      </c>
      <c r="C6" s="1">
        <v>30</v>
      </c>
      <c r="D6" s="1">
        <v>40</v>
      </c>
      <c r="E6" s="1">
        <f t="shared" ref="E6:E14" si="0">SUM(B6:D6)</f>
        <v>120</v>
      </c>
      <c r="F6" s="8">
        <f t="shared" ref="F6:F14" si="1">E6/300</f>
        <v>0.4</v>
      </c>
      <c r="G6" s="1" t="str">
        <f t="shared" ref="G6:G14" si="2">IF(F6&gt;70%,"Excelent",IF(F6&gt;50%,"Good","Bed"))</f>
        <v>Bed</v>
      </c>
    </row>
    <row r="7" spans="1:7" x14ac:dyDescent="0.35">
      <c r="A7" s="1" t="s">
        <v>197</v>
      </c>
      <c r="B7" s="1">
        <v>60</v>
      </c>
      <c r="C7" s="1">
        <v>70</v>
      </c>
      <c r="D7" s="1" t="s">
        <v>207</v>
      </c>
      <c r="E7" s="1">
        <f t="shared" si="0"/>
        <v>130</v>
      </c>
      <c r="F7" s="8">
        <f t="shared" si="1"/>
        <v>0.43333333333333335</v>
      </c>
      <c r="G7" s="1" t="str">
        <f t="shared" si="2"/>
        <v>Bed</v>
      </c>
    </row>
    <row r="8" spans="1:7" x14ac:dyDescent="0.35">
      <c r="A8" s="1" t="s">
        <v>198</v>
      </c>
      <c r="B8" s="1">
        <v>90</v>
      </c>
      <c r="C8" s="1">
        <v>85</v>
      </c>
      <c r="D8" s="1">
        <v>95</v>
      </c>
      <c r="E8" s="1">
        <f t="shared" si="0"/>
        <v>270</v>
      </c>
      <c r="F8" s="8">
        <f t="shared" si="1"/>
        <v>0.9</v>
      </c>
      <c r="G8" s="1" t="str">
        <f t="shared" si="2"/>
        <v>Excelent</v>
      </c>
    </row>
    <row r="9" spans="1:7" x14ac:dyDescent="0.35">
      <c r="A9" s="1" t="s">
        <v>199</v>
      </c>
      <c r="B9" s="1">
        <v>20</v>
      </c>
      <c r="C9" s="1">
        <v>30</v>
      </c>
      <c r="D9" s="1" t="s">
        <v>208</v>
      </c>
      <c r="E9" s="1">
        <f t="shared" si="0"/>
        <v>50</v>
      </c>
      <c r="F9" s="8">
        <f t="shared" si="1"/>
        <v>0.16666666666666666</v>
      </c>
      <c r="G9" s="1" t="str">
        <f t="shared" si="2"/>
        <v>Bed</v>
      </c>
    </row>
    <row r="10" spans="1:7" x14ac:dyDescent="0.35">
      <c r="A10" s="1" t="s">
        <v>200</v>
      </c>
      <c r="B10" s="1">
        <v>40</v>
      </c>
      <c r="C10" s="1">
        <v>60</v>
      </c>
      <c r="D10" s="1">
        <v>80</v>
      </c>
      <c r="E10" s="1">
        <f t="shared" si="0"/>
        <v>180</v>
      </c>
      <c r="F10" s="8">
        <f t="shared" si="1"/>
        <v>0.6</v>
      </c>
      <c r="G10" s="1" t="str">
        <f t="shared" si="2"/>
        <v>Good</v>
      </c>
    </row>
    <row r="11" spans="1:7" x14ac:dyDescent="0.35">
      <c r="A11" s="1" t="s">
        <v>201</v>
      </c>
      <c r="B11" s="1">
        <v>10</v>
      </c>
      <c r="C11" s="1">
        <v>90</v>
      </c>
      <c r="D11" s="1">
        <v>80</v>
      </c>
      <c r="E11" s="1">
        <f t="shared" si="0"/>
        <v>180</v>
      </c>
      <c r="F11" s="8">
        <f t="shared" si="1"/>
        <v>0.6</v>
      </c>
      <c r="G11" s="1" t="str">
        <f t="shared" si="2"/>
        <v>Good</v>
      </c>
    </row>
    <row r="12" spans="1:7" x14ac:dyDescent="0.35">
      <c r="A12" s="1" t="s">
        <v>202</v>
      </c>
      <c r="B12" s="1">
        <v>80</v>
      </c>
      <c r="C12" s="1">
        <v>70</v>
      </c>
      <c r="D12" s="1">
        <v>60</v>
      </c>
      <c r="E12" s="1">
        <f t="shared" si="0"/>
        <v>210</v>
      </c>
      <c r="F12" s="8">
        <f t="shared" si="1"/>
        <v>0.7</v>
      </c>
      <c r="G12" s="1" t="str">
        <f t="shared" si="2"/>
        <v>Good</v>
      </c>
    </row>
    <row r="13" spans="1:7" x14ac:dyDescent="0.35">
      <c r="A13" s="1" t="s">
        <v>203</v>
      </c>
      <c r="B13" s="1">
        <v>30</v>
      </c>
      <c r="C13" s="1">
        <v>10</v>
      </c>
      <c r="D13" s="1">
        <v>20</v>
      </c>
      <c r="E13" s="1">
        <f t="shared" si="0"/>
        <v>60</v>
      </c>
      <c r="F13" s="8">
        <f t="shared" si="1"/>
        <v>0.2</v>
      </c>
      <c r="G13" s="1" t="str">
        <f t="shared" si="2"/>
        <v>Bed</v>
      </c>
    </row>
    <row r="14" spans="1:7" x14ac:dyDescent="0.35">
      <c r="A14" s="1" t="s">
        <v>204</v>
      </c>
      <c r="B14" s="1">
        <v>10</v>
      </c>
      <c r="C14" s="1">
        <v>20</v>
      </c>
      <c r="D14" s="1">
        <v>30</v>
      </c>
      <c r="E14" s="1">
        <f t="shared" si="0"/>
        <v>60</v>
      </c>
      <c r="F14" s="8">
        <f t="shared" si="1"/>
        <v>0.2</v>
      </c>
      <c r="G14" s="1" t="str">
        <f t="shared" si="2"/>
        <v>Bed</v>
      </c>
    </row>
    <row r="16" spans="1:7" x14ac:dyDescent="0.35">
      <c r="A16" t="s">
        <v>210</v>
      </c>
    </row>
    <row r="17" spans="1:3" x14ac:dyDescent="0.35">
      <c r="A17" t="s">
        <v>110</v>
      </c>
      <c r="B17">
        <f>COUNTA(A5:A14)</f>
        <v>10</v>
      </c>
    </row>
    <row r="18" spans="1:3" x14ac:dyDescent="0.35">
      <c r="A18" t="s">
        <v>211</v>
      </c>
    </row>
    <row r="19" spans="1:3" x14ac:dyDescent="0.35">
      <c r="A19" t="s">
        <v>56</v>
      </c>
      <c r="B19">
        <f>COUNTIF(F5:F14,"&gt;50%")</f>
        <v>5</v>
      </c>
    </row>
    <row r="20" spans="1:3" x14ac:dyDescent="0.35">
      <c r="A20" t="s">
        <v>212</v>
      </c>
    </row>
    <row r="21" spans="1:3" x14ac:dyDescent="0.35">
      <c r="A21" t="s">
        <v>56</v>
      </c>
      <c r="B21" t="s">
        <v>213</v>
      </c>
      <c r="C21">
        <f>E6</f>
        <v>120</v>
      </c>
    </row>
    <row r="22" spans="1:3" x14ac:dyDescent="0.35">
      <c r="B22" t="s">
        <v>214</v>
      </c>
      <c r="C22">
        <f>E9</f>
        <v>50</v>
      </c>
    </row>
    <row r="23" spans="1:3" x14ac:dyDescent="0.35">
      <c r="A23" t="s">
        <v>215</v>
      </c>
    </row>
    <row r="24" spans="1:3" x14ac:dyDescent="0.35">
      <c r="A24" t="s">
        <v>216</v>
      </c>
    </row>
    <row r="25" spans="1:3" x14ac:dyDescent="0.35">
      <c r="A25" t="s">
        <v>56</v>
      </c>
      <c r="B25" t="s">
        <v>217</v>
      </c>
      <c r="C25">
        <f>COUNTIF(G5:G14,"Good")</f>
        <v>3</v>
      </c>
    </row>
    <row r="26" spans="1:3" x14ac:dyDescent="0.35">
      <c r="B26" t="s">
        <v>218</v>
      </c>
      <c r="C26">
        <f>COUNTIF(G5:G14,"Bed")</f>
        <v>5</v>
      </c>
    </row>
  </sheetData>
  <mergeCells count="3">
    <mergeCell ref="B3:D3"/>
    <mergeCell ref="E3:G3"/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Assignment-1</vt:lpstr>
      <vt:lpstr>Assignment-2</vt:lpstr>
      <vt:lpstr>Assignment-3</vt:lpstr>
      <vt:lpstr>Assignment-4</vt:lpstr>
      <vt:lpstr>Assignment-5</vt:lpstr>
      <vt:lpstr>Assignment-6</vt:lpstr>
      <vt:lpstr>Assignment-7</vt:lpstr>
      <vt:lpstr>Assignment-8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2026-07-10T11:54:10Z</dcterms:modified>
</cp:coreProperties>
</file>