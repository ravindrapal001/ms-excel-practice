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F0518F03-7A81-4A8C-9BA0-63846ADA8D89}" xr6:coauthVersionLast="47" xr6:coauthVersionMax="47" xr10:uidLastSave="{00000000-0000-0000-0000-000000000000}"/>
  <bookViews>
    <workbookView xWindow="-110" yWindow="-110" windowWidth="19420" windowHeight="10300" firstSheet="6" activeTab="10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  <sheet name="Assignment-8" sheetId="8" r:id="rId8"/>
    <sheet name="Assignment-9" sheetId="9" r:id="rId9"/>
    <sheet name="Assignment-10" sheetId="10" r:id="rId10"/>
    <sheet name="Assignment-11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11" l="1"/>
  <c r="D20" i="11"/>
  <c r="D19" i="11"/>
  <c r="C17" i="11"/>
  <c r="C16" i="11"/>
  <c r="C15" i="11"/>
  <c r="B30" i="10"/>
  <c r="B28" i="10"/>
  <c r="C26" i="10"/>
  <c r="C25" i="10"/>
  <c r="C23" i="10"/>
  <c r="C22" i="10"/>
  <c r="B20" i="10"/>
  <c r="H5" i="9"/>
  <c r="H6" i="9"/>
  <c r="H7" i="9"/>
  <c r="H8" i="9"/>
  <c r="H9" i="9"/>
  <c r="H10" i="9"/>
  <c r="H11" i="9"/>
  <c r="H12" i="9"/>
  <c r="H13" i="9"/>
  <c r="H14" i="9"/>
  <c r="H15" i="9"/>
  <c r="H16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4" i="9"/>
  <c r="C26" i="8"/>
  <c r="C25" i="8"/>
  <c r="G6" i="8"/>
  <c r="G7" i="8"/>
  <c r="G8" i="8"/>
  <c r="G9" i="8"/>
  <c r="G10" i="8"/>
  <c r="G11" i="8"/>
  <c r="G12" i="8"/>
  <c r="G13" i="8"/>
  <c r="G14" i="8"/>
  <c r="G5" i="8"/>
  <c r="C22" i="8"/>
  <c r="C21" i="8"/>
  <c r="B19" i="8"/>
  <c r="B17" i="8"/>
  <c r="F6" i="8"/>
  <c r="F7" i="8"/>
  <c r="F8" i="8"/>
  <c r="F9" i="8"/>
  <c r="F10" i="8"/>
  <c r="F11" i="8"/>
  <c r="F12" i="8"/>
  <c r="F13" i="8"/>
  <c r="F14" i="8"/>
  <c r="F5" i="8"/>
  <c r="E6" i="8"/>
  <c r="E7" i="8"/>
  <c r="E8" i="8"/>
  <c r="E9" i="8"/>
  <c r="E10" i="8"/>
  <c r="E11" i="8"/>
  <c r="E12" i="8"/>
  <c r="E13" i="8"/>
  <c r="E14" i="8"/>
  <c r="E5" i="8"/>
  <c r="C5" i="7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<sst xmlns="http://schemas.openxmlformats.org/spreadsheetml/2006/main" count="447" uniqueCount="340">
  <si>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</si>
  <si>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</si>
  <si>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</si>
  <si>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</si>
  <si>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</si>
  <si>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</si>
  <si>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</si>
  <si>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</si>
  <si>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</si>
  <si>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</si>
  <si>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</si>
  <si>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</si>
  <si>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</si>
  <si>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</si>
  <si>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</si>
  <si>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</si>
  <si>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</si>
  <si>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</si>
  <si>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</si>
  <si>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</si>
  <si>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</si>
  <si>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</si>
  <si>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</si>
  <si>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</si>
  <si>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</si>
  <si>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</si>
  <si>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</si>
  <si>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</si>
  <si>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</si>
  <si>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</si>
  <si>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</si>
  <si>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</si>
  <si>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</si>
  <si>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</si>
  <si>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</si>
  <si>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</si>
  <si>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</si>
  <si>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</si>
  <si>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</si>
  <si>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</si>
  <si>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</si>
  <si>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</si>
  <si>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</si>
  <si>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</si>
  <si>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</si>
  <si>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</si>
  <si>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</si>
  <si>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</si>
  <si>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</si>
  <si>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</si>
  <si>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</si>
  <si>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</si>
  <si>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</si>
  <si>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</si>
  <si>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</si>
  <si>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</si>
  <si>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</si>
  <si>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</si>
  <si>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</si>
  <si>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</si>
  <si>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</si>
  <si>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</si>
  <si>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</si>
  <si>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</si>
  <si>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</si>
  <si>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</si>
  <si>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</si>
  <si>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</si>
  <si>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</si>
  <si>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</si>
  <si>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</si>
  <si>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</si>
  <si>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</si>
  <si>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</si>
  <si>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</si>
  <si>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</si>
  <si>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</si>
  <si>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</si>
  <si>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</si>
  <si>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</si>
  <si>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</si>
  <si>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</si>
  <si>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</si>
  <si>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</si>
  <si>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</si>
  <si>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</si>
  <si>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</si>
  <si>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</si>
  <si>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</si>
  <si>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</si>
  <si>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</si>
  <si>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</si>
  <si>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</si>
  <si>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</si>
  <si>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</si>
  <si>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</si>
  <si>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</si>
  <si>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</si>
  <si>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</si>
  <si>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</si>
  <si>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</si>
  <si>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</si>
  <si>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</si>
  <si>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</si>
  <si>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</si>
  <si>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</si>
  <si>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</si>
  <si>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</si>
  <si>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</si>
  <si>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</si>
  <si>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</si>
  <si>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</si>
  <si>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</si>
  <si>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</si>
  <si>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</si>
  <si>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</si>
  <si>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</si>
  <si>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</si>
  <si>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</si>
  <si>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</si>
  <si>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</si>
  <si>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</si>
  <si>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</si>
  <si>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</si>
  <si>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</si>
  <si>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</si>
  <si>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</si>
  <si>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</si>
  <si>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</si>
  <si>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</si>
  <si>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</si>
  <si>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</si>
  <si>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</si>
  <si>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</si>
  <si>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</si>
  <si>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</si>
  <si>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</si>
  <si>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</si>
  <si>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</si>
  <si>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</si>
  <si>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</si>
  <si>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</si>
  <si>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</si>
  <si>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</si>
  <si>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</si>
  <si>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</si>
  <si>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</si>
  <si>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</si>
  <si>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</si>
  <si>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</si>
  <si>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</si>
  <si>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</si>
  <si>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</si>
  <si>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</si>
  <si>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</si>
  <si>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</si>
  <si>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</si>
  <si>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</si>
  <si>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</si>
  <si>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</si>
  <si>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</si>
  <si>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</si>
  <si>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</si>
  <si>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</si>
  <si>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</si>
  <si>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</si>
  <si>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</si>
  <si>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</si>
  <si>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</si>
  <si>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</si>
  <si>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</si>
  <si>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</si>
  <si>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</si>
  <si>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</si>
  <si>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</si>
  <si>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</si>
  <si>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</si>
  <si>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</si>
  <si>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</si>
  <si>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</si>
  <si>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</si>
  <si>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</si>
  <si>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</si>
  <si>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</si>
  <si>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</si>
  <si>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</si>
  <si>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</si>
  <si>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</si>
  <si>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</si>
  <si>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</si>
  <si>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</si>
  <si>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</si>
  <si>
    <t>Use of Formuals-Sum, Average, Counta , Countif, Sumif &amp; If</t>
  </si>
  <si>
    <t>Student_Name</t>
  </si>
  <si>
    <t>Name</t>
  </si>
  <si>
    <t>Alan</t>
  </si>
  <si>
    <t>Bob</t>
  </si>
  <si>
    <t>Carol</t>
  </si>
  <si>
    <t>David</t>
  </si>
  <si>
    <t>Eric</t>
  </si>
  <si>
    <t>Fred</t>
  </si>
  <si>
    <t>Gail</t>
  </si>
  <si>
    <t>Harry</t>
  </si>
  <si>
    <t>Ian</t>
  </si>
  <si>
    <t>Janice</t>
  </si>
  <si>
    <t>Subject</t>
  </si>
  <si>
    <t>Maths</t>
  </si>
  <si>
    <t>oor</t>
  </si>
  <si>
    <t>Absent</t>
  </si>
  <si>
    <t>Percentage</t>
  </si>
  <si>
    <t>Q.1: How many students?</t>
  </si>
  <si>
    <t>Q.2: How many student percentage greater then&gt;50?</t>
  </si>
  <si>
    <t>Q.3: Student Bob and Eric Total Number?</t>
  </si>
  <si>
    <t>Bob_Total=</t>
  </si>
  <si>
    <t>Eric_Total=</t>
  </si>
  <si>
    <t>Q.4: If Percentage greater then&gt;70 then "Excellent", If Percentage greater then &gt;50,"Good", otherwise "Bed".</t>
  </si>
  <si>
    <t>Q.5: How many students good and bed in a list.</t>
  </si>
  <si>
    <t>Good_Students=</t>
  </si>
  <si>
    <t>Bed_Students=</t>
  </si>
  <si>
    <t xml:space="preserve">Use of Formulas - LOOKUP </t>
  </si>
  <si>
    <t>Employee ID</t>
  </si>
  <si>
    <t>Last Name</t>
  </si>
  <si>
    <t>Doe</t>
  </si>
  <si>
    <t>Cline</t>
  </si>
  <si>
    <t>Smith</t>
  </si>
  <si>
    <t>Pan</t>
  </si>
  <si>
    <t>Favre</t>
  </si>
  <si>
    <t>Elway</t>
  </si>
  <si>
    <t>Manning</t>
  </si>
  <si>
    <t>Vick</t>
  </si>
  <si>
    <t>Woods</t>
  </si>
  <si>
    <t>Jordan</t>
  </si>
  <si>
    <t>Stark</t>
  </si>
  <si>
    <t>Williams</t>
  </si>
  <si>
    <t>First Name</t>
  </si>
  <si>
    <t>John</t>
  </si>
  <si>
    <t>Andy</t>
  </si>
  <si>
    <t>Peter</t>
  </si>
  <si>
    <t>Bret</t>
  </si>
  <si>
    <t>Eli</t>
  </si>
  <si>
    <t>Micheal</t>
  </si>
  <si>
    <t>Tiger</t>
  </si>
  <si>
    <t>Tony</t>
  </si>
  <si>
    <t>Prience</t>
  </si>
  <si>
    <t>Pitt</t>
  </si>
  <si>
    <t>Brad</t>
  </si>
  <si>
    <t>Pay</t>
  </si>
  <si>
    <t>$84,289</t>
  </si>
  <si>
    <t>$137679</t>
  </si>
  <si>
    <t>$190024</t>
  </si>
  <si>
    <t>$122604</t>
  </si>
  <si>
    <t>$111709</t>
  </si>
  <si>
    <t>$85931</t>
  </si>
  <si>
    <t>$168114</t>
  </si>
  <si>
    <t>$89627</t>
  </si>
  <si>
    <t>$149946</t>
  </si>
  <si>
    <t>$145893</t>
  </si>
  <si>
    <t>$64757</t>
  </si>
  <si>
    <t>$71478</t>
  </si>
  <si>
    <t>$121444</t>
  </si>
  <si>
    <t>First N.</t>
  </si>
  <si>
    <t>Last N.</t>
  </si>
  <si>
    <t>Use of Formulas - Counta, Countif, Sumif, &amp; Vlookup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</si>
  <si>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</si>
  <si>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</si>
  <si>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</si>
  <si>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</si>
  <si>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</si>
  <si>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</si>
  <si>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</si>
  <si>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</si>
  <si>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</si>
  <si>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</si>
  <si>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</si>
  <si>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</si>
  <si>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</si>
  <si>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</si>
  <si>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Full Name</t>
  </si>
  <si>
    <t>Faith K. Macias</t>
  </si>
  <si>
    <t>Lucian Q. Franklin</t>
  </si>
  <si>
    <t>Blaze V. Bridges</t>
  </si>
  <si>
    <t>Denton Q. Dale</t>
  </si>
  <si>
    <t>Blossom K. Fox</t>
  </si>
  <si>
    <t>Kerry V. David</t>
  </si>
  <si>
    <t>Melanie X. Baker</t>
  </si>
  <si>
    <t>Adele M. Fulton</t>
  </si>
  <si>
    <t>Justina O. Jensen</t>
  </si>
  <si>
    <t>Yoshi J. England</t>
  </si>
  <si>
    <t>Brooke Y. Mccarty</t>
  </si>
  <si>
    <t>Kay G. Colon</t>
  </si>
  <si>
    <t>Callie I. Forbes</t>
  </si>
  <si>
    <t>Zachery O. Mann</t>
  </si>
  <si>
    <t>SSN</t>
  </si>
  <si>
    <t>845-04-3962</t>
  </si>
  <si>
    <t>345-28-4935</t>
  </si>
  <si>
    <t>503-53-8350</t>
  </si>
  <si>
    <t>858-39-7967</t>
  </si>
  <si>
    <t>245-18-5890</t>
  </si>
  <si>
    <t>873-45-8675</t>
  </si>
  <si>
    <t>190-08-3679</t>
  </si>
  <si>
    <t>352-36-9553</t>
  </si>
  <si>
    <t>645-74-0451</t>
  </si>
  <si>
    <t>558-53-1475</t>
  </si>
  <si>
    <t>129-42-6148</t>
  </si>
  <si>
    <t>796-50-4767</t>
  </si>
  <si>
    <t>266-48-1339</t>
  </si>
  <si>
    <t>663-00-3285</t>
  </si>
  <si>
    <t>Department</t>
  </si>
  <si>
    <t>Marketing</t>
  </si>
  <si>
    <t>IT/IS</t>
  </si>
  <si>
    <t>Engineering</t>
  </si>
  <si>
    <t>Finance</t>
  </si>
  <si>
    <t>Human Resources</t>
  </si>
  <si>
    <t>Start Date</t>
  </si>
  <si>
    <t>Earnings</t>
  </si>
  <si>
    <t>Q.1: How many Employee in a list?</t>
  </si>
  <si>
    <t>Q.2: How many Employee work in Finance and Marketing Department?</t>
  </si>
  <si>
    <t xml:space="preserve">Ans:  </t>
  </si>
  <si>
    <t>Q.3: Employee Blossom K. Fox Department and Earnings?</t>
  </si>
  <si>
    <t>Q.4: Employee Blossom K. SSN No.?</t>
  </si>
  <si>
    <t>Q.5: How many Amount Earnings Marketing Department?</t>
  </si>
  <si>
    <t>Use of Formulas- Match and Vlookup With Match</t>
  </si>
  <si>
    <t>CLASSIC FAVORITES</t>
  </si>
  <si>
    <t>Caffe Latte</t>
  </si>
  <si>
    <t>Cappuccino</t>
  </si>
  <si>
    <t>Caramel Macchiato</t>
  </si>
  <si>
    <t>Caffe Mocha</t>
  </si>
  <si>
    <t>White Chocolate Mocha</t>
  </si>
  <si>
    <t>Caffe Americano</t>
  </si>
  <si>
    <t>Cinnamon Doice Latte</t>
  </si>
  <si>
    <t>Steamer</t>
  </si>
  <si>
    <t>Drip Coffee</t>
  </si>
  <si>
    <t>TALL</t>
  </si>
  <si>
    <t>GRANDE</t>
  </si>
  <si>
    <t>VENTI</t>
  </si>
  <si>
    <t>Q.1: What is the column for the size Grande, Tall , Venti?</t>
  </si>
  <si>
    <t>Grande</t>
  </si>
  <si>
    <t>Tall</t>
  </si>
  <si>
    <t>Venti</t>
  </si>
  <si>
    <t>Q.2: What is the price of a Caffe Morcha, Size Grade, Tall, Venti?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</si>
</sst>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[Red]#,##0"/>
    <numFmt numFmtId="165" formatCode="[$$-409]#,##0.00_ ;\-[$$-409]#,##0.00\ "/>
    <numFmt numFmtId="169" formatCode="[$$-409]#,#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" fontId="0" fillId="0" borderId="0" xfId="0" applyNumberFormat="1"/>
    <xf numFmtId="1" fontId="0" fillId="0" borderId="1" xfId="0" applyNumberFormat="1" applyBorder="1"/>
    <xf numFmtId="9" fontId="0" fillId="0" borderId="1" xfId="1" applyFont="1" applyBorder="1"/>
    <xf numFmtId="164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9" fontId="0" fillId="0" borderId="0" xfId="0" applyNumberFormat="1"/>
  </cellXfs>
  <cellStyles count="2">
    <cellStyle name="Normal" xfId="0" builtinId="0"/>
    <cellStyle name="Percent" xfId="1" builtinId="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11" t="s">
        <v>1</v>
      </c>
      <c r="B1" s="11"/>
      <c r="C1" s="11"/>
      <c r="D1" s="11"/>
      <c r="E1" s="11"/>
    </row>
    <row r="2" spans="1:10" x14ac:dyDescent="0.35">
      <c r="A2" s="11" t="s">
        <v>0</v>
      </c>
      <c r="B2" s="11"/>
      <c r="C2" s="11"/>
      <c r="D2" s="11"/>
      <c r="E2" s="11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11" t="s">
        <v>37</v>
      </c>
      <c r="B1" s="11"/>
      <c r="C1" s="11"/>
      <c r="D1" s="11"/>
      <c r="E1" s="11"/>
    </row>
    <row r="2" spans="1:6" x14ac:dyDescent="0.35">
      <c r="A2" s="11" t="s">
        <v>38</v>
      </c>
      <c r="B2" s="11"/>
      <c r="C2" s="11"/>
      <c r="D2" s="11"/>
      <c r="E2" s="11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11" t="s">
        <v>66</v>
      </c>
      <c r="B1" s="11"/>
      <c r="C1" s="11"/>
      <c r="D1" s="11"/>
      <c r="E1" s="11"/>
      <c r="F1" s="11"/>
      <c r="G1" s="11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11" t="s">
        <v>122</v>
      </c>
      <c r="B1" s="11"/>
      <c r="C1" s="11"/>
      <c r="D1" s="11"/>
      <c r="E1" s="11"/>
      <c r="F1" s="11"/>
      <c r="G1" s="11"/>
      <c r="H1" s="11"/>
      <c r="I1" s="11"/>
      <c r="J1" s="11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4" bestFit="1" customWidth="1"/>
    <col min="7" max="7" width="12" customWidth="1"/>
  </cols>
  <sheetData>
    <row r="1" spans="1:7" x14ac:dyDescent="0.35">
      <c r="A1" s="11" t="s">
        <v>180</v>
      </c>
      <c r="B1" s="11"/>
      <c r="C1" s="11"/>
      <c r="D1" s="11"/>
      <c r="E1" s="11"/>
      <c r="F1" s="11"/>
      <c r="G1" s="11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5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5">
        <f>YEAR(B4)</f>
        <v>1980</v>
      </c>
      <c r="F4" s="5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5">
        <f t="shared" ref="E5:E14" si="2">YEAR(B5)</f>
        <v>1981</v>
      </c>
      <c r="F5" s="5">
        <f t="shared" ref="F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5">
        <f t="shared" si="2"/>
        <v>2003</v>
      </c>
      <c r="F6" s="5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5">
        <f t="shared" si="2"/>
        <v>1990</v>
      </c>
      <c r="F7" s="5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5">
        <f t="shared" si="2"/>
        <v>1992</v>
      </c>
      <c r="F8" s="5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5">
        <f t="shared" si="2"/>
        <v>1998</v>
      </c>
      <c r="F9" s="5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5">
        <f t="shared" si="2"/>
        <v>1980</v>
      </c>
      <c r="F10" s="5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5">
        <f t="shared" si="2"/>
        <v>2005</v>
      </c>
      <c r="F11" s="5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5">
        <f t="shared" si="2"/>
        <v>2007</v>
      </c>
      <c r="F12" s="5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5">
        <f t="shared" si="2"/>
        <v>2010</v>
      </c>
      <c r="F13" s="5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5">
        <f t="shared" si="2"/>
        <v>1993</v>
      </c>
      <c r="F14" s="5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4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F0B-8946-47F2-9BCC-EFBCC2647886}">
  <dimension ref="A1:G26"/>
  <sheetViews>
    <sheetView workbookViewId="0">
      <selection activeCell="J11" sqref="J11"/>
    </sheetView>
  </sheetViews>
  <sheetFormatPr defaultRowHeight="14.5" x14ac:dyDescent="0.35"/>
  <cols>
    <col min="1" max="1" width="14.36328125" customWidth="1"/>
    <col min="2" max="2" width="15.6328125" customWidth="1"/>
    <col min="6" max="6" width="10.08984375" customWidth="1"/>
  </cols>
  <sheetData>
    <row r="1" spans="1:7" x14ac:dyDescent="0.35">
      <c r="A1" s="11" t="s">
        <v>192</v>
      </c>
      <c r="B1" s="11"/>
      <c r="C1" s="11"/>
      <c r="D1" s="11"/>
      <c r="E1" s="11"/>
      <c r="F1" s="11"/>
      <c r="G1" s="11"/>
    </row>
    <row r="3" spans="1:7" x14ac:dyDescent="0.35">
      <c r="A3" s="1" t="s">
        <v>193</v>
      </c>
      <c r="B3" s="12" t="s">
        <v>205</v>
      </c>
      <c r="C3" s="12"/>
      <c r="D3" s="12"/>
      <c r="E3" s="12" t="s">
        <v>146</v>
      </c>
      <c r="F3" s="12"/>
      <c r="G3" s="12"/>
    </row>
    <row r="4" spans="1:7" x14ac:dyDescent="0.35">
      <c r="A4" s="1" t="s">
        <v>194</v>
      </c>
      <c r="B4" s="1" t="s">
        <v>206</v>
      </c>
      <c r="C4" s="1" t="s">
        <v>16</v>
      </c>
      <c r="D4" s="1" t="s">
        <v>18</v>
      </c>
      <c r="E4" s="1" t="s">
        <v>20</v>
      </c>
      <c r="F4" s="1" t="s">
        <v>209</v>
      </c>
      <c r="G4" s="1" t="s">
        <v>24</v>
      </c>
    </row>
    <row r="5" spans="1:7" x14ac:dyDescent="0.35">
      <c r="A5" s="1" t="s">
        <v>195</v>
      </c>
      <c r="B5" s="1">
        <v>80</v>
      </c>
      <c r="C5" s="1">
        <v>75</v>
      </c>
      <c r="D5" s="1">
        <v>85</v>
      </c>
      <c r="E5" s="1">
        <f>SUM(B5:D5)</f>
        <v>240</v>
      </c>
      <c r="F5" s="6">
        <f>E5/300</f>
        <v>0.8</v>
      </c>
      <c r="G5" s="1" t="str">
        <f>IF(F5&gt;70%,"Excelent",IF(F5&gt;50%,"Good","Bed"))</f>
        <v>Excelent</v>
      </c>
    </row>
    <row r="6" spans="1:7" x14ac:dyDescent="0.35">
      <c r="A6" s="1" t="s">
        <v>196</v>
      </c>
      <c r="B6" s="1">
        <v>50</v>
      </c>
      <c r="C6" s="1">
        <v>30</v>
      </c>
      <c r="D6" s="1">
        <v>40</v>
      </c>
      <c r="E6" s="1">
        <f t="shared" ref="E6:E14" si="0">SUM(B6:D6)</f>
        <v>120</v>
      </c>
      <c r="F6" s="6">
        <f t="shared" ref="F6:F14" si="1">E6/300</f>
        <v>0.4</v>
      </c>
      <c r="G6" s="1" t="str">
        <f t="shared" ref="G6:G14" si="2">IF(F6&gt;70%,"Excelent",IF(F6&gt;50%,"Good","Bed"))</f>
        <v>Bed</v>
      </c>
    </row>
    <row r="7" spans="1:7" x14ac:dyDescent="0.35">
      <c r="A7" s="1" t="s">
        <v>197</v>
      </c>
      <c r="B7" s="1">
        <v>60</v>
      </c>
      <c r="C7" s="1">
        <v>70</v>
      </c>
      <c r="D7" s="1" t="s">
        <v>207</v>
      </c>
      <c r="E7" s="1">
        <f t="shared" si="0"/>
        <v>130</v>
      </c>
      <c r="F7" s="6">
        <f t="shared" si="1"/>
        <v>0.43333333333333335</v>
      </c>
      <c r="G7" s="1" t="str">
        <f t="shared" si="2"/>
        <v>Bed</v>
      </c>
    </row>
    <row r="8" spans="1:7" x14ac:dyDescent="0.35">
      <c r="A8" s="1" t="s">
        <v>198</v>
      </c>
      <c r="B8" s="1">
        <v>90</v>
      </c>
      <c r="C8" s="1">
        <v>85</v>
      </c>
      <c r="D8" s="1">
        <v>95</v>
      </c>
      <c r="E8" s="1">
        <f t="shared" si="0"/>
        <v>270</v>
      </c>
      <c r="F8" s="6">
        <f t="shared" si="1"/>
        <v>0.9</v>
      </c>
      <c r="G8" s="1" t="str">
        <f t="shared" si="2"/>
        <v>Excelent</v>
      </c>
    </row>
    <row r="9" spans="1:7" x14ac:dyDescent="0.35">
      <c r="A9" s="1" t="s">
        <v>199</v>
      </c>
      <c r="B9" s="1">
        <v>20</v>
      </c>
      <c r="C9" s="1">
        <v>30</v>
      </c>
      <c r="D9" s="1" t="s">
        <v>208</v>
      </c>
      <c r="E9" s="1">
        <f t="shared" si="0"/>
        <v>50</v>
      </c>
      <c r="F9" s="6">
        <f t="shared" si="1"/>
        <v>0.16666666666666666</v>
      </c>
      <c r="G9" s="1" t="str">
        <f t="shared" si="2"/>
        <v>Bed</v>
      </c>
    </row>
    <row r="10" spans="1:7" x14ac:dyDescent="0.35">
      <c r="A10" s="1" t="s">
        <v>200</v>
      </c>
      <c r="B10" s="1">
        <v>40</v>
      </c>
      <c r="C10" s="1">
        <v>60</v>
      </c>
      <c r="D10" s="1">
        <v>80</v>
      </c>
      <c r="E10" s="1">
        <f t="shared" si="0"/>
        <v>180</v>
      </c>
      <c r="F10" s="6">
        <f t="shared" si="1"/>
        <v>0.6</v>
      </c>
      <c r="G10" s="1" t="str">
        <f t="shared" si="2"/>
        <v>Good</v>
      </c>
    </row>
    <row r="11" spans="1:7" x14ac:dyDescent="0.35">
      <c r="A11" s="1" t="s">
        <v>201</v>
      </c>
      <c r="B11" s="1">
        <v>10</v>
      </c>
      <c r="C11" s="1">
        <v>90</v>
      </c>
      <c r="D11" s="1">
        <v>80</v>
      </c>
      <c r="E11" s="1">
        <f t="shared" si="0"/>
        <v>180</v>
      </c>
      <c r="F11" s="6">
        <f t="shared" si="1"/>
        <v>0.6</v>
      </c>
      <c r="G11" s="1" t="str">
        <f t="shared" si="2"/>
        <v>Good</v>
      </c>
    </row>
    <row r="12" spans="1:7" x14ac:dyDescent="0.35">
      <c r="A12" s="1" t="s">
        <v>202</v>
      </c>
      <c r="B12" s="1">
        <v>80</v>
      </c>
      <c r="C12" s="1">
        <v>70</v>
      </c>
      <c r="D12" s="1">
        <v>60</v>
      </c>
      <c r="E12" s="1">
        <f t="shared" si="0"/>
        <v>210</v>
      </c>
      <c r="F12" s="6">
        <f t="shared" si="1"/>
        <v>0.7</v>
      </c>
      <c r="G12" s="1" t="str">
        <f t="shared" si="2"/>
        <v>Good</v>
      </c>
    </row>
    <row r="13" spans="1:7" x14ac:dyDescent="0.35">
      <c r="A13" s="1" t="s">
        <v>203</v>
      </c>
      <c r="B13" s="1">
        <v>30</v>
      </c>
      <c r="C13" s="1">
        <v>10</v>
      </c>
      <c r="D13" s="1">
        <v>20</v>
      </c>
      <c r="E13" s="1">
        <f t="shared" si="0"/>
        <v>60</v>
      </c>
      <c r="F13" s="6">
        <f t="shared" si="1"/>
        <v>0.2</v>
      </c>
      <c r="G13" s="1" t="str">
        <f t="shared" si="2"/>
        <v>Bed</v>
      </c>
    </row>
    <row r="14" spans="1:7" x14ac:dyDescent="0.35">
      <c r="A14" s="1" t="s">
        <v>204</v>
      </c>
      <c r="B14" s="1">
        <v>10</v>
      </c>
      <c r="C14" s="1">
        <v>20</v>
      </c>
      <c r="D14" s="1">
        <v>30</v>
      </c>
      <c r="E14" s="1">
        <f t="shared" si="0"/>
        <v>60</v>
      </c>
      <c r="F14" s="6">
        <f t="shared" si="1"/>
        <v>0.2</v>
      </c>
      <c r="G14" s="1" t="str">
        <f t="shared" si="2"/>
        <v>Bed</v>
      </c>
    </row>
    <row r="16" spans="1:7" x14ac:dyDescent="0.35">
      <c r="A16" t="s">
        <v>210</v>
      </c>
    </row>
    <row r="17" spans="1:3" x14ac:dyDescent="0.35">
      <c r="A17" t="s">
        <v>110</v>
      </c>
      <c r="B17">
        <f>COUNTA(A5:A14)</f>
        <v>10</v>
      </c>
    </row>
    <row r="18" spans="1:3" x14ac:dyDescent="0.35">
      <c r="A18" t="s">
        <v>211</v>
      </c>
    </row>
    <row r="19" spans="1:3" x14ac:dyDescent="0.35">
      <c r="A19" t="s">
        <v>56</v>
      </c>
      <c r="B19">
        <f>COUNTIF(F5:F14,"&gt;50%")</f>
        <v>5</v>
      </c>
    </row>
    <row r="20" spans="1:3" x14ac:dyDescent="0.35">
      <c r="A20" t="s">
        <v>212</v>
      </c>
    </row>
    <row r="21" spans="1:3" x14ac:dyDescent="0.35">
      <c r="A21" t="s">
        <v>56</v>
      </c>
      <c r="B21" t="s">
        <v>213</v>
      </c>
      <c r="C21">
        <f>E6</f>
        <v>120</v>
      </c>
    </row>
    <row r="22" spans="1:3" x14ac:dyDescent="0.35">
      <c r="B22" t="s">
        <v>214</v>
      </c>
      <c r="C22">
        <f>E9</f>
        <v>50</v>
      </c>
    </row>
    <row r="23" spans="1:3" x14ac:dyDescent="0.35">
      <c r="A23" t="s">
        <v>215</v>
      </c>
    </row>
    <row r="24" spans="1:3" x14ac:dyDescent="0.35">
      <c r="A24" t="s">
        <v>216</v>
      </c>
    </row>
    <row r="25" spans="1:3" x14ac:dyDescent="0.35">
      <c r="A25" t="s">
        <v>56</v>
      </c>
      <c r="B25" t="s">
        <v>217</v>
      </c>
      <c r="C25">
        <f>COUNTIF(G5:G14,"Good")</f>
        <v>3</v>
      </c>
    </row>
    <row r="26" spans="1:3" x14ac:dyDescent="0.35">
      <c r="B26" t="s">
        <v>218</v>
      </c>
      <c r="C26">
        <f>COUNTIF(G5:G14,"Bed")</f>
        <v>5</v>
      </c>
    </row>
  </sheetData>
  <mergeCells count="3">
    <mergeCell ref="B3:D3"/>
    <mergeCell ref="E3:G3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62EB-9EC7-49EC-BCC5-1E6EC010608D}">
  <dimension ref="A1:H16"/>
  <sheetViews>
    <sheetView workbookViewId="0">
      <selection activeCell="A2" sqref="A2"/>
    </sheetView>
  </sheetViews>
  <sheetFormatPr defaultRowHeight="14.5" x14ac:dyDescent="0.35"/>
  <cols>
    <col min="1" max="1" width="12" customWidth="1"/>
    <col min="2" max="2" width="11" customWidth="1"/>
    <col min="3" max="3" width="10.26953125" customWidth="1"/>
    <col min="5" max="5" width="12.08984375" customWidth="1"/>
    <col min="6" max="6" width="12.08984375" style="7" customWidth="1"/>
  </cols>
  <sheetData>
    <row r="1" spans="1:8" x14ac:dyDescent="0.35">
      <c r="A1" s="11" t="s">
        <v>219</v>
      </c>
      <c r="B1" s="11"/>
      <c r="C1" s="11"/>
      <c r="D1" s="11"/>
      <c r="E1" s="11"/>
      <c r="F1" s="11"/>
      <c r="G1" s="11"/>
      <c r="H1" s="11"/>
    </row>
    <row r="3" spans="1:8" x14ac:dyDescent="0.35">
      <c r="A3" t="s">
        <v>220</v>
      </c>
      <c r="B3" t="s">
        <v>221</v>
      </c>
      <c r="C3" t="s">
        <v>234</v>
      </c>
      <c r="E3" t="s">
        <v>220</v>
      </c>
      <c r="F3" s="7" t="s">
        <v>246</v>
      </c>
      <c r="G3" t="s">
        <v>260</v>
      </c>
      <c r="H3" t="s">
        <v>261</v>
      </c>
    </row>
    <row r="4" spans="1:8" x14ac:dyDescent="0.35">
      <c r="A4">
        <v>110608</v>
      </c>
      <c r="B4" t="s">
        <v>222</v>
      </c>
      <c r="C4" t="s">
        <v>235</v>
      </c>
      <c r="E4">
        <v>602693</v>
      </c>
      <c r="F4" s="8" t="s">
        <v>247</v>
      </c>
      <c r="G4" t="str">
        <f>VLOOKUP(E4,$A$4:$C$16,3,FALSE)</f>
        <v>Micheal</v>
      </c>
      <c r="H4" t="str">
        <f>VLOOKUP(E4,$A$4:$C$16,2,FALSE)</f>
        <v>Vick</v>
      </c>
    </row>
    <row r="5" spans="1:8" x14ac:dyDescent="0.35">
      <c r="A5">
        <v>253072</v>
      </c>
      <c r="B5" t="s">
        <v>223</v>
      </c>
      <c r="C5" t="s">
        <v>236</v>
      </c>
      <c r="E5">
        <v>611810</v>
      </c>
      <c r="F5" s="8" t="s">
        <v>248</v>
      </c>
      <c r="G5" t="str">
        <f t="shared" ref="G5:G16" si="0">VLOOKUP(E5,$A$4:$C$16,3,FALSE)</f>
        <v>Tiger</v>
      </c>
      <c r="H5" t="str">
        <f t="shared" ref="H5:H16" si="1">VLOOKUP(E5,$A$4:$C$16,2,FALSE)</f>
        <v>Woods</v>
      </c>
    </row>
    <row r="6" spans="1:8" x14ac:dyDescent="0.35">
      <c r="A6">
        <v>352711</v>
      </c>
      <c r="B6" t="s">
        <v>224</v>
      </c>
      <c r="C6" t="s">
        <v>235</v>
      </c>
      <c r="E6">
        <v>549457</v>
      </c>
      <c r="F6" s="8" t="s">
        <v>249</v>
      </c>
      <c r="G6" t="str">
        <f t="shared" si="0"/>
        <v>John</v>
      </c>
      <c r="H6" t="str">
        <f t="shared" si="1"/>
        <v>Elway</v>
      </c>
    </row>
    <row r="7" spans="1:8" x14ac:dyDescent="0.35">
      <c r="A7">
        <v>391006</v>
      </c>
      <c r="B7" t="s">
        <v>225</v>
      </c>
      <c r="C7" t="s">
        <v>237</v>
      </c>
      <c r="E7">
        <v>612235</v>
      </c>
      <c r="F7" s="8" t="s">
        <v>250</v>
      </c>
      <c r="G7" t="str">
        <f t="shared" si="0"/>
        <v>Micheal</v>
      </c>
      <c r="H7" t="str">
        <f t="shared" si="1"/>
        <v>Jordan</v>
      </c>
    </row>
    <row r="8" spans="1:8" x14ac:dyDescent="0.35">
      <c r="A8">
        <v>392128</v>
      </c>
      <c r="B8" t="s">
        <v>226</v>
      </c>
      <c r="C8" t="s">
        <v>238</v>
      </c>
      <c r="E8">
        <v>580622</v>
      </c>
      <c r="F8" s="8" t="s">
        <v>251</v>
      </c>
      <c r="G8" t="str">
        <f t="shared" si="0"/>
        <v>Eli</v>
      </c>
      <c r="H8" t="str">
        <f t="shared" si="1"/>
        <v>Manning</v>
      </c>
    </row>
    <row r="9" spans="1:8" x14ac:dyDescent="0.35">
      <c r="A9">
        <v>549457</v>
      </c>
      <c r="B9" t="s">
        <v>227</v>
      </c>
      <c r="C9" t="s">
        <v>235</v>
      </c>
      <c r="E9">
        <v>830385</v>
      </c>
      <c r="F9" s="8" t="s">
        <v>252</v>
      </c>
      <c r="G9" t="str">
        <f t="shared" si="0"/>
        <v>Prience</v>
      </c>
      <c r="H9" t="str">
        <f t="shared" si="1"/>
        <v>Williams</v>
      </c>
    </row>
    <row r="10" spans="1:8" x14ac:dyDescent="0.35">
      <c r="A10">
        <v>580622</v>
      </c>
      <c r="B10" t="s">
        <v>228</v>
      </c>
      <c r="C10" t="s">
        <v>239</v>
      </c>
      <c r="E10">
        <v>253072</v>
      </c>
      <c r="F10" s="8" t="s">
        <v>253</v>
      </c>
      <c r="G10" t="str">
        <f t="shared" si="0"/>
        <v>Andy</v>
      </c>
      <c r="H10" t="str">
        <f t="shared" si="1"/>
        <v>Cline</v>
      </c>
    </row>
    <row r="11" spans="1:8" x14ac:dyDescent="0.35">
      <c r="A11">
        <v>602693</v>
      </c>
      <c r="B11" t="s">
        <v>229</v>
      </c>
      <c r="C11" t="s">
        <v>240</v>
      </c>
      <c r="E11">
        <v>391006</v>
      </c>
      <c r="F11" s="8" t="s">
        <v>254</v>
      </c>
      <c r="G11" t="str">
        <f t="shared" si="0"/>
        <v>Peter</v>
      </c>
      <c r="H11" t="str">
        <f t="shared" si="1"/>
        <v>Pan</v>
      </c>
    </row>
    <row r="12" spans="1:8" x14ac:dyDescent="0.35">
      <c r="A12">
        <v>611810</v>
      </c>
      <c r="B12" t="s">
        <v>230</v>
      </c>
      <c r="C12" t="s">
        <v>241</v>
      </c>
      <c r="E12">
        <v>990678</v>
      </c>
      <c r="F12" s="8" t="s">
        <v>255</v>
      </c>
      <c r="G12" t="str">
        <f t="shared" si="0"/>
        <v>Brad</v>
      </c>
      <c r="H12" t="str">
        <f t="shared" si="1"/>
        <v>Pitt</v>
      </c>
    </row>
    <row r="13" spans="1:8" x14ac:dyDescent="0.35">
      <c r="A13">
        <v>612235</v>
      </c>
      <c r="B13" t="s">
        <v>231</v>
      </c>
      <c r="C13" t="s">
        <v>240</v>
      </c>
      <c r="E13">
        <v>795574</v>
      </c>
      <c r="F13" s="8" t="s">
        <v>256</v>
      </c>
      <c r="G13" t="str">
        <f t="shared" si="0"/>
        <v>Tony</v>
      </c>
      <c r="H13" t="str">
        <f t="shared" si="1"/>
        <v>Stark</v>
      </c>
    </row>
    <row r="14" spans="1:8" x14ac:dyDescent="0.35">
      <c r="A14">
        <v>795574</v>
      </c>
      <c r="B14" t="s">
        <v>232</v>
      </c>
      <c r="C14" t="s">
        <v>242</v>
      </c>
      <c r="E14">
        <v>392128</v>
      </c>
      <c r="F14" s="8" t="s">
        <v>257</v>
      </c>
      <c r="G14" t="str">
        <f t="shared" si="0"/>
        <v>Bret</v>
      </c>
      <c r="H14" t="str">
        <f t="shared" si="1"/>
        <v>Favre</v>
      </c>
    </row>
    <row r="15" spans="1:8" x14ac:dyDescent="0.35">
      <c r="A15">
        <v>830385</v>
      </c>
      <c r="B15" t="s">
        <v>233</v>
      </c>
      <c r="C15" t="s">
        <v>243</v>
      </c>
      <c r="E15">
        <v>352711</v>
      </c>
      <c r="F15" s="8" t="s">
        <v>258</v>
      </c>
      <c r="G15" t="str">
        <f t="shared" si="0"/>
        <v>John</v>
      </c>
      <c r="H15" t="str">
        <f t="shared" si="1"/>
        <v>Smith</v>
      </c>
    </row>
    <row r="16" spans="1:8" x14ac:dyDescent="0.35">
      <c r="A16">
        <v>990678</v>
      </c>
      <c r="B16" t="s">
        <v>244</v>
      </c>
      <c r="C16" t="s">
        <v>245</v>
      </c>
      <c r="E16">
        <v>110608</v>
      </c>
      <c r="F16" s="8" t="s">
        <v>259</v>
      </c>
      <c r="G16" t="str">
        <f t="shared" si="0"/>
        <v>John</v>
      </c>
      <c r="H16" t="str">
        <f t="shared" si="1"/>
        <v>Doe</v>
      </c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C23C-C2FE-4903-9BBF-3812006739B6}">
  <dimension ref="A1:F30"/>
  <sheetViews>
    <sheetView topLeftCell="A13" workbookViewId="0">
      <selection activeCell="B31" sqref="B31"/>
    </sheetView>
  </sheetViews>
  <sheetFormatPr defaultRowHeight="14.5" x14ac:dyDescent="0.35"/>
  <cols>
    <col min="1" max="1" width="12" customWidth="1"/>
    <col min="2" max="2" width="18.1796875" customWidth="1"/>
    <col min="3" max="3" width="13" customWidth="1"/>
    <col min="4" max="4" width="17.08984375" customWidth="1"/>
    <col min="5" max="5" width="12.26953125" customWidth="1"/>
    <col min="6" max="6" width="16" customWidth="1"/>
  </cols>
  <sheetData>
    <row r="1" spans="1:6" x14ac:dyDescent="0.35">
      <c r="A1" t="s">
        <v>262</v>
      </c>
    </row>
    <row r="3" spans="1:6" x14ac:dyDescent="0.35">
      <c r="A3" t="s">
        <v>220</v>
      </c>
      <c r="B3" t="s">
        <v>277</v>
      </c>
      <c r="C3" t="s">
        <v>292</v>
      </c>
      <c r="D3" t="s">
        <v>307</v>
      </c>
      <c r="E3" t="s">
        <v>313</v>
      </c>
      <c r="F3" t="s">
        <v>314</v>
      </c>
    </row>
    <row r="4" spans="1:6" x14ac:dyDescent="0.35">
      <c r="A4" t="s">
        <v>263</v>
      </c>
      <c r="B4" t="s">
        <v>278</v>
      </c>
      <c r="C4" t="s">
        <v>293</v>
      </c>
      <c r="D4" t="s">
        <v>308</v>
      </c>
      <c r="E4" s="9">
        <v>39474</v>
      </c>
      <c r="F4" s="10">
        <v>73500</v>
      </c>
    </row>
    <row r="5" spans="1:6" x14ac:dyDescent="0.35">
      <c r="A5" t="s">
        <v>264</v>
      </c>
      <c r="B5" t="s">
        <v>279</v>
      </c>
      <c r="C5" t="s">
        <v>294</v>
      </c>
      <c r="D5" t="s">
        <v>309</v>
      </c>
      <c r="E5" s="9">
        <v>39508</v>
      </c>
      <c r="F5" s="10">
        <v>80000</v>
      </c>
    </row>
    <row r="6" spans="1:6" x14ac:dyDescent="0.35">
      <c r="A6" t="s">
        <v>265</v>
      </c>
      <c r="B6" t="s">
        <v>280</v>
      </c>
      <c r="C6" t="s">
        <v>295</v>
      </c>
      <c r="D6" t="s">
        <v>308</v>
      </c>
      <c r="E6" s="9">
        <v>39554</v>
      </c>
      <c r="F6" s="10">
        <v>95000</v>
      </c>
    </row>
    <row r="7" spans="1:6" x14ac:dyDescent="0.35">
      <c r="A7" t="s">
        <v>266</v>
      </c>
      <c r="B7" t="s">
        <v>281</v>
      </c>
      <c r="C7" t="s">
        <v>296</v>
      </c>
      <c r="D7" t="s">
        <v>308</v>
      </c>
      <c r="E7" s="9">
        <v>39571</v>
      </c>
      <c r="F7" s="10">
        <v>105000</v>
      </c>
    </row>
    <row r="8" spans="1:6" x14ac:dyDescent="0.35">
      <c r="A8" t="s">
        <v>267</v>
      </c>
      <c r="B8" t="s">
        <v>282</v>
      </c>
      <c r="C8" t="s">
        <v>297</v>
      </c>
      <c r="D8" t="s">
        <v>310</v>
      </c>
      <c r="E8" s="9">
        <v>39640</v>
      </c>
      <c r="F8" s="10">
        <v>90000</v>
      </c>
    </row>
    <row r="9" spans="1:6" x14ac:dyDescent="0.35">
      <c r="A9" t="s">
        <v>268</v>
      </c>
      <c r="B9" t="s">
        <v>283</v>
      </c>
      <c r="C9" t="s">
        <v>298</v>
      </c>
      <c r="D9" t="s">
        <v>311</v>
      </c>
      <c r="E9" s="9">
        <v>39646</v>
      </c>
      <c r="F9" s="10">
        <v>60000</v>
      </c>
    </row>
    <row r="10" spans="1:6" x14ac:dyDescent="0.35">
      <c r="A10" t="s">
        <v>269</v>
      </c>
      <c r="B10" t="s">
        <v>284</v>
      </c>
      <c r="C10" t="s">
        <v>299</v>
      </c>
      <c r="D10" t="s">
        <v>311</v>
      </c>
      <c r="E10" s="9">
        <v>39726</v>
      </c>
      <c r="F10" s="10">
        <v>87000</v>
      </c>
    </row>
    <row r="11" spans="1:6" x14ac:dyDescent="0.35">
      <c r="A11" t="s">
        <v>270</v>
      </c>
      <c r="B11" t="s">
        <v>285</v>
      </c>
      <c r="C11" t="s">
        <v>300</v>
      </c>
      <c r="D11" t="s">
        <v>310</v>
      </c>
      <c r="E11" s="9">
        <v>39749</v>
      </c>
      <c r="F11" s="10">
        <v>104000</v>
      </c>
    </row>
    <row r="12" spans="1:6" x14ac:dyDescent="0.35">
      <c r="A12" t="s">
        <v>271</v>
      </c>
      <c r="B12" t="s">
        <v>286</v>
      </c>
      <c r="C12" t="s">
        <v>301</v>
      </c>
      <c r="D12" t="s">
        <v>308</v>
      </c>
      <c r="E12" s="9">
        <v>39757</v>
      </c>
      <c r="F12" s="10">
        <v>380050</v>
      </c>
    </row>
    <row r="13" spans="1:6" x14ac:dyDescent="0.35">
      <c r="A13" t="s">
        <v>272</v>
      </c>
      <c r="B13" t="s">
        <v>287</v>
      </c>
      <c r="C13" t="s">
        <v>302</v>
      </c>
      <c r="D13" t="s">
        <v>308</v>
      </c>
      <c r="E13" s="9">
        <v>39791</v>
      </c>
      <c r="F13" s="10">
        <v>93000</v>
      </c>
    </row>
    <row r="14" spans="1:6" x14ac:dyDescent="0.35">
      <c r="A14" t="s">
        <v>273</v>
      </c>
      <c r="B14" t="s">
        <v>288</v>
      </c>
      <c r="C14" t="s">
        <v>303</v>
      </c>
      <c r="D14" t="s">
        <v>309</v>
      </c>
      <c r="E14" s="9">
        <v>39856</v>
      </c>
      <c r="F14" s="10">
        <v>180000</v>
      </c>
    </row>
    <row r="15" spans="1:6" x14ac:dyDescent="0.35">
      <c r="A15" t="s">
        <v>274</v>
      </c>
      <c r="B15" t="s">
        <v>289</v>
      </c>
      <c r="C15" t="s">
        <v>304</v>
      </c>
      <c r="D15" t="s">
        <v>308</v>
      </c>
      <c r="E15" s="9">
        <v>39891</v>
      </c>
      <c r="F15" s="10">
        <v>100000</v>
      </c>
    </row>
    <row r="16" spans="1:6" x14ac:dyDescent="0.35">
      <c r="A16" t="s">
        <v>275</v>
      </c>
      <c r="B16" t="s">
        <v>290</v>
      </c>
      <c r="C16" t="s">
        <v>305</v>
      </c>
      <c r="D16" t="s">
        <v>312</v>
      </c>
      <c r="E16" s="9">
        <v>39916</v>
      </c>
      <c r="F16" s="10">
        <v>136000</v>
      </c>
    </row>
    <row r="17" spans="1:6" x14ac:dyDescent="0.35">
      <c r="A17" t="s">
        <v>276</v>
      </c>
      <c r="B17" t="s">
        <v>291</v>
      </c>
      <c r="C17" t="s">
        <v>306</v>
      </c>
      <c r="D17" t="s">
        <v>308</v>
      </c>
      <c r="E17" s="9">
        <v>39931</v>
      </c>
      <c r="F17" s="10">
        <v>68000</v>
      </c>
    </row>
    <row r="19" spans="1:6" x14ac:dyDescent="0.35">
      <c r="A19" t="s">
        <v>315</v>
      </c>
    </row>
    <row r="20" spans="1:6" x14ac:dyDescent="0.35">
      <c r="A20" t="s">
        <v>56</v>
      </c>
      <c r="B20">
        <f>COUNTA(A4:A17)</f>
        <v>14</v>
      </c>
    </row>
    <row r="21" spans="1:6" x14ac:dyDescent="0.35">
      <c r="A21" t="s">
        <v>316</v>
      </c>
    </row>
    <row r="22" spans="1:6" x14ac:dyDescent="0.35">
      <c r="A22" t="s">
        <v>317</v>
      </c>
      <c r="B22" t="s">
        <v>311</v>
      </c>
      <c r="C22">
        <f>COUNTIF(D4:D17,"Finance")</f>
        <v>2</v>
      </c>
    </row>
    <row r="23" spans="1:6" x14ac:dyDescent="0.35">
      <c r="B23" t="s">
        <v>308</v>
      </c>
      <c r="C23">
        <f>COUNTIF(D4:D17,"Marketing")</f>
        <v>7</v>
      </c>
    </row>
    <row r="24" spans="1:6" x14ac:dyDescent="0.35">
      <c r="A24" t="s">
        <v>318</v>
      </c>
    </row>
    <row r="25" spans="1:6" x14ac:dyDescent="0.35">
      <c r="A25" t="s">
        <v>56</v>
      </c>
      <c r="B25" t="s">
        <v>307</v>
      </c>
      <c r="C25" t="str">
        <f>_xlfn.XLOOKUP(B8,B4:B17,D4:D17,,0,)</f>
        <v>Engineering</v>
      </c>
    </row>
    <row r="26" spans="1:6" x14ac:dyDescent="0.35">
      <c r="B26" t="s">
        <v>314</v>
      </c>
      <c r="C26">
        <f>_xlfn.XLOOKUP(B8,B4:B17,F4:F17,,0,)</f>
        <v>90000</v>
      </c>
    </row>
    <row r="27" spans="1:6" x14ac:dyDescent="0.35">
      <c r="A27" t="s">
        <v>319</v>
      </c>
    </row>
    <row r="28" spans="1:6" x14ac:dyDescent="0.35">
      <c r="A28" t="s">
        <v>56</v>
      </c>
      <c r="B28" t="str">
        <f>_xlfn.XLOOKUP(B8,B4:B17,C4:C17,,0,)</f>
        <v>245-18-5890</v>
      </c>
    </row>
    <row r="29" spans="1:6" x14ac:dyDescent="0.35">
      <c r="A29" t="s">
        <v>320</v>
      </c>
    </row>
    <row r="30" spans="1:6" x14ac:dyDescent="0.35">
      <c r="A30" t="s">
        <v>110</v>
      </c>
      <c r="B30">
        <f>SUMIF(D4:D17,"Marketing",F4:F17)</f>
        <v>914550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7375-8235-4C53-8430-2BB4090F787E}">
  <dimension ref="A1:D21"/>
  <sheetViews>
    <sheetView tabSelected="1" topLeftCell="A9" workbookViewId="0">
      <selection activeCell="D22" sqref="D22"/>
    </sheetView>
  </sheetViews>
  <sheetFormatPr defaultRowHeight="14.5" x14ac:dyDescent="0.35"/>
  <cols>
    <col min="1" max="1" width="20.54296875" customWidth="1"/>
    <col min="2" max="2" width="13.54296875" customWidth="1"/>
  </cols>
  <sheetData>
    <row r="1" spans="1:4" x14ac:dyDescent="0.35">
      <c r="A1" t="s">
        <v>321</v>
      </c>
    </row>
    <row r="3" spans="1:4" x14ac:dyDescent="0.35">
      <c r="A3" t="s">
        <v>322</v>
      </c>
      <c r="B3" t="s">
        <v>332</v>
      </c>
      <c r="C3" t="s">
        <v>333</v>
      </c>
      <c r="D3" t="s">
        <v>334</v>
      </c>
    </row>
    <row r="4" spans="1:4" x14ac:dyDescent="0.35">
      <c r="A4" t="s">
        <v>323</v>
      </c>
      <c r="B4" s="13">
        <v>2.95</v>
      </c>
      <c r="C4" s="13">
        <v>3.75</v>
      </c>
      <c r="D4" s="13">
        <v>4.1500000000000004</v>
      </c>
    </row>
    <row r="5" spans="1:4" x14ac:dyDescent="0.35">
      <c r="A5" t="s">
        <v>324</v>
      </c>
      <c r="B5" s="13">
        <v>2.95</v>
      </c>
      <c r="C5" s="13">
        <v>3.65</v>
      </c>
      <c r="D5" s="13">
        <v>4.1500000000000004</v>
      </c>
    </row>
    <row r="6" spans="1:4" x14ac:dyDescent="0.35">
      <c r="A6" t="s">
        <v>325</v>
      </c>
      <c r="B6" s="13">
        <v>3.75</v>
      </c>
      <c r="C6" s="13">
        <v>3.95</v>
      </c>
      <c r="D6" s="13">
        <v>4.25</v>
      </c>
    </row>
    <row r="7" spans="1:4" x14ac:dyDescent="0.35">
      <c r="A7" t="s">
        <v>326</v>
      </c>
      <c r="B7" s="13">
        <v>3.25</v>
      </c>
      <c r="C7" s="13">
        <v>3.95</v>
      </c>
      <c r="D7" s="13">
        <v>4.4000000000000004</v>
      </c>
    </row>
    <row r="8" spans="1:4" x14ac:dyDescent="0.35">
      <c r="A8" t="s">
        <v>327</v>
      </c>
      <c r="B8" s="13">
        <v>3.45</v>
      </c>
      <c r="C8" s="13">
        <v>4.1500000000000004</v>
      </c>
      <c r="D8" s="13">
        <v>4.55</v>
      </c>
    </row>
    <row r="9" spans="1:4" x14ac:dyDescent="0.35">
      <c r="A9" t="s">
        <v>328</v>
      </c>
      <c r="B9" s="13">
        <v>2</v>
      </c>
      <c r="C9" s="13">
        <v>2.4</v>
      </c>
      <c r="D9" s="13">
        <v>2.75</v>
      </c>
    </row>
    <row r="10" spans="1:4" x14ac:dyDescent="0.35">
      <c r="A10" t="s">
        <v>329</v>
      </c>
      <c r="B10" s="13">
        <v>3.95</v>
      </c>
      <c r="C10" s="13">
        <v>4.75</v>
      </c>
      <c r="D10" s="13">
        <v>5.15</v>
      </c>
    </row>
    <row r="11" spans="1:4" x14ac:dyDescent="0.35">
      <c r="A11" t="s">
        <v>330</v>
      </c>
      <c r="B11" s="13">
        <v>2.25</v>
      </c>
      <c r="C11" s="13">
        <v>2.5</v>
      </c>
      <c r="D11" s="13">
        <v>2.75</v>
      </c>
    </row>
    <row r="12" spans="1:4" x14ac:dyDescent="0.35">
      <c r="A12" t="s">
        <v>331</v>
      </c>
      <c r="B12" s="13">
        <v>1.75</v>
      </c>
      <c r="C12" s="13">
        <v>1.95</v>
      </c>
      <c r="D12" s="13">
        <v>2.0499999999999998</v>
      </c>
    </row>
    <row r="14" spans="1:4" x14ac:dyDescent="0.35">
      <c r="A14" t="s">
        <v>335</v>
      </c>
    </row>
    <row r="15" spans="1:4" x14ac:dyDescent="0.35">
      <c r="A15" t="s">
        <v>110</v>
      </c>
      <c r="B15" t="s">
        <v>336</v>
      </c>
      <c r="C15">
        <f>MATCH(C3,A3:D3,0)</f>
        <v>3</v>
      </c>
    </row>
    <row r="16" spans="1:4" x14ac:dyDescent="0.35">
      <c r="B16" t="s">
        <v>337</v>
      </c>
      <c r="C16">
        <f>MATCH(B3,A3:D3,0)</f>
        <v>2</v>
      </c>
    </row>
    <row r="17" spans="1:4" x14ac:dyDescent="0.35">
      <c r="B17" t="s">
        <v>338</v>
      </c>
      <c r="C17">
        <f>MATCH(D3,A3:D3,0)</f>
        <v>4</v>
      </c>
    </row>
    <row r="18" spans="1:4" x14ac:dyDescent="0.35">
      <c r="A18" t="s">
        <v>339</v>
      </c>
    </row>
    <row r="19" spans="1:4" x14ac:dyDescent="0.35">
      <c r="A19" t="s">
        <v>110</v>
      </c>
      <c r="B19" t="s">
        <v>326</v>
      </c>
      <c r="C19" t="s">
        <v>336</v>
      </c>
      <c r="D19">
        <f>VLOOKUP(B19,A3:D12,MATCH(C3,A3:D3,0),FALSE)</f>
        <v>3.95</v>
      </c>
    </row>
    <row r="20" spans="1:4" x14ac:dyDescent="0.35">
      <c r="B20" t="s">
        <v>326</v>
      </c>
      <c r="C20" t="s">
        <v>337</v>
      </c>
      <c r="D20">
        <f>VLOOKUP(B20,A3:D12,MATCH(B3,A3:D3,0),FALSE)</f>
        <v>3.25</v>
      </c>
    </row>
    <row r="21" spans="1:4" x14ac:dyDescent="0.35">
      <c r="B21" t="s">
        <v>326</v>
      </c>
      <c r="C21" t="s">
        <v>338</v>
      </c>
      <c r="D21">
        <f>VLOOKUP(B21,A3:D12,MATCH(D3,A3:D3,0),FALSE)</f>
        <v>4.4000000000000004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  <vt:lpstr>Assignment-8</vt:lpstr>
      <vt:lpstr>Assignment-9</vt:lpstr>
      <vt:lpstr>Assignment-10</vt:lpstr>
      <vt:lpstr>Assignment-11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2026-07-18T15:55:16Z</dcterms:modified>
</cp:coreProperties>
</file>