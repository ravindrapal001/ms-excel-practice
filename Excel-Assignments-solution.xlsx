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1.Excel\"/>
    </mc:Choice>
  </mc:AlternateContent>
  <xr:revisionPtr revIDLastSave="0" documentId="13_ncr:1_{C2699E63-A8B4-4D40-838D-B97448A789A1}" xr6:coauthVersionLast="47" xr6:coauthVersionMax="47" xr10:uidLastSave="{00000000-0000-0000-0000-000000000000}"/>
  <bookViews>
    <workbookView xWindow="-110" yWindow="-110" windowWidth="19420" windowHeight="10300" activeTab="4" xr2:uid="{7F6CA21F-FA47-42DF-92A2-56BFE6F74A15}"/>
  </bookViews>
  <sheets>
    <sheet name="Assignment-1" sheetId="1" r:id="rId1"/>
    <sheet name="Assignment-2" sheetId="2" r:id="rId2"/>
    <sheet name="Assignment-3" sheetId="3" r:id="rId3"/>
    <sheet name="Assignment-4" sheetId="4" r:id="rId4"/>
    <sheet name="Assignment-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5" l="1" a="1"/>
  <c r="B26" i="5"/>
  <c r="B24" i="5"/>
  <c r="I22" i="5"/>
  <c r="I21" i="5"/>
  <c r="F22" i="5"/>
  <c r="F21" i="5"/>
  <c r="C22" i="5"/>
  <c r="C21" i="5"/>
  <c r="J17" i="5"/>
  <c r="J5" i="5"/>
  <c r="J6" i="5"/>
  <c r="J7" i="5"/>
  <c r="J8" i="5"/>
  <c r="J9" i="5"/>
  <c r="J10" i="5"/>
  <c r="J11" i="5"/>
  <c r="J12" i="5"/>
  <c r="J13" i="5"/>
  <c r="J14" i="5"/>
  <c r="J4" i="5"/>
  <c r="F17" i="5"/>
  <c r="B17" i="5"/>
  <c r="H5" i="5"/>
  <c r="H6" i="5"/>
  <c r="H7" i="5"/>
  <c r="H8" i="5"/>
  <c r="H9" i="5"/>
  <c r="H10" i="5"/>
  <c r="H11" i="5"/>
  <c r="H12" i="5"/>
  <c r="H13" i="5"/>
  <c r="H14" i="5"/>
  <c r="H4" i="5"/>
  <c r="C25" i="4"/>
  <c r="C24" i="4"/>
  <c r="G21" i="4"/>
  <c r="C21" i="4"/>
  <c r="I5" i="4"/>
  <c r="I6" i="4"/>
  <c r="I7" i="4"/>
  <c r="I8" i="4"/>
  <c r="I9" i="4"/>
  <c r="I10" i="4"/>
  <c r="I11" i="4"/>
  <c r="I4" i="4"/>
  <c r="G20" i="4"/>
  <c r="C20" i="4"/>
  <c r="H5" i="4"/>
  <c r="H6" i="4"/>
  <c r="H7" i="4"/>
  <c r="H8" i="4"/>
  <c r="H9" i="4"/>
  <c r="H10" i="4"/>
  <c r="H11" i="4"/>
  <c r="G4" i="4"/>
  <c r="H4" i="4"/>
  <c r="G5" i="4"/>
  <c r="G6" i="4"/>
  <c r="G7" i="4"/>
  <c r="G8" i="4"/>
  <c r="G9" i="4"/>
  <c r="G10" i="4"/>
  <c r="G11" i="4"/>
  <c r="F5" i="4"/>
  <c r="F6" i="4"/>
  <c r="F7" i="4"/>
  <c r="F8" i="4"/>
  <c r="F9" i="4"/>
  <c r="F10" i="4"/>
  <c r="F11" i="4"/>
  <c r="F4" i="4"/>
  <c r="E5" i="4"/>
  <c r="E6" i="4"/>
  <c r="E7" i="4"/>
  <c r="E8" i="4"/>
  <c r="E9" i="4"/>
  <c r="E10" i="4"/>
  <c r="E11" i="4"/>
  <c r="E4" i="4"/>
  <c r="B18" i="4"/>
  <c r="C16" i="4"/>
  <c r="C15" i="4"/>
  <c r="C14" i="4"/>
  <c r="B21" i="3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C23" i="1" l="1"/>
  <c r="F23" i="1"/>
  <c r="J7" i="1"/>
  <c r="D21" i="1" s="1"/>
  <c r="D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<sst xmlns="http://schemas.openxmlformats.org/spreadsheetml/2006/main" count="183" uniqueCount="152">
  <si>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</si>
  <si>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</si>
  <si>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</si>
  <si>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</si>
  <si>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</si>
  <si>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</si>
  <si>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</si>
  <si>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</si>
  <si>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</si>
  <si>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</si>
  <si>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</si>
  <si>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</si>
  <si>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</si>
  <si>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</si>
  <si>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</si>
  <si>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</si>
  <si>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</si>
  <si>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</si>
  <si>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</si>
  <si>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</si>
  <si>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</si>
  <si>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</si>
  <si>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</si>
  <si>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</si>
  <si>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</si>
  <si>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</si>
  <si>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</si>
  <si>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</si>
  <si>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</si>
  <si>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</si>
  <si>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</si>
  <si>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</si>
  <si>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</si>
  <si>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</si>
  <si>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</si>
  <si>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</si>
  <si>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</si>
  <si>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</si>
  <si>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</si>
  <si>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</si>
  <si>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</si>
  <si>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</si>
  <si>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</si>
  <si>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</si>
  <si>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</si>
  <si>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</si>
  <si>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</si>
  <si>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</si>
  <si>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</si>
  <si>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</si>
  <si>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</si>
  <si>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</si>
  <si>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</si>
  <si>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</si>
  <si>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</si>
  <si>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</si>
  <si>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</si>
  <si>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</si>
  <si>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</si>
  <si>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</si>
  <si>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</si>
  <si>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</si>
  <si>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</si>
  <si>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</si>
  <si>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</si>
  <si>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</si>
  <si>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</si>
  <si>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</si>
  <si>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</si>
  <si>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</si>
  <si>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</si>
  <si>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</si>
  <si>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</si>
  <si>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</si>
  <si>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</si>
  <si>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</si>
  <si>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</si>
  <si>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</si>
  <si>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</si>
  <si>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</si>
  <si>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</si>
  <si>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</si>
  <si>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</si>
  <si>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</si>
  <si>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</si>
  <si>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</si>
  <si>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</si>
  <si>
    <t>Use of Formulas - Sum, NestedIf, Counta, Countif, Sumif, Vlookup</t>
  </si>
  <si>
    <t>NAME</t>
  </si>
  <si>
    <t>SHYAM</t>
  </si>
  <si>
    <t>RAHUL</t>
  </si>
  <si>
    <t>RAKESH</t>
  </si>
  <si>
    <t>ASHISH</t>
  </si>
  <si>
    <t>MANISH</t>
  </si>
  <si>
    <t>DEPARTMENT</t>
  </si>
  <si>
    <t>ELECTRICAL</t>
  </si>
  <si>
    <t>FINANCE</t>
  </si>
  <si>
    <t>POST</t>
  </si>
  <si>
    <t>MANAGER</t>
  </si>
  <si>
    <t>SUPERVISOR</t>
  </si>
  <si>
    <t>PION</t>
  </si>
  <si>
    <t>GUARD</t>
  </si>
  <si>
    <t>CASHER</t>
  </si>
  <si>
    <t>ACCOUNTANT</t>
  </si>
  <si>
    <t>BASIC</t>
  </si>
  <si>
    <t>DA 2.5%</t>
  </si>
  <si>
    <t>Q.1:  HOW MANY EMPLOYEE IN COMPUTER, FINANCE, ELECTRICAL DEPARTMENT.</t>
  </si>
  <si>
    <t>Ans: COMPUTER</t>
  </si>
  <si>
    <t xml:space="preserve">   FINANCE</t>
  </si>
  <si>
    <t>Q.2: HOW MANY BASIC SALARY IN COMPUTER DEPARTMENT ONLY?</t>
  </si>
  <si>
    <t>Ans:</t>
  </si>
  <si>
    <t>Q.3: MANOJ , ASHISH POST &amp; GRADE</t>
  </si>
  <si>
    <t>HRA 3.5%</t>
  </si>
  <si>
    <t>PF 1.5%</t>
  </si>
  <si>
    <t>Ans:  MANOJ POST</t>
  </si>
  <si>
    <t xml:space="preserve">          MANOJ GRADE</t>
  </si>
  <si>
    <t>ASHISH POST</t>
  </si>
  <si>
    <t>ASHISH GRADE</t>
  </si>
  <si>
    <t>Q.4: IF TOTAL SALARY IS GREATER THEN 20000 THEN "A", IF TOTAL SALARY GREATER THEN 10000 THEN "B", OTHERWISE "C".</t>
  </si>
  <si>
    <t>Q.5: HOW MANY EMPLOYEE IS MANAGER &amp; GUARD?</t>
  </si>
  <si>
    <t>Ans: MANAGER:</t>
  </si>
  <si>
    <t xml:space="preserve">         GUARD:</t>
  </si>
  <si>
    <t>Use of Formulas-Sum,If, Counta,Countif,Sumif,Vlookup,Lookup</t>
  </si>
  <si>
    <t>SALESMAN</t>
  </si>
  <si>
    <t>RAMESH</t>
  </si>
  <si>
    <t>AJEET</t>
  </si>
  <si>
    <t>ALOK</t>
  </si>
  <si>
    <t>AMRIT</t>
  </si>
  <si>
    <t>SURENDRA</t>
  </si>
  <si>
    <t>SHASHI</t>
  </si>
  <si>
    <t>JAN</t>
  </si>
  <si>
    <t>FEB</t>
  </si>
  <si>
    <t>MAR</t>
  </si>
  <si>
    <t>APR</t>
  </si>
  <si>
    <t>MAY</t>
  </si>
  <si>
    <t>JUNE</t>
  </si>
  <si>
    <t>SALES</t>
  </si>
  <si>
    <t>TARGET</t>
  </si>
  <si>
    <t>RESULT</t>
  </si>
  <si>
    <t>Q.1: How many Salesman? Salesman Ajeet Target and Result?</t>
  </si>
  <si>
    <t>Ajeet Target</t>
  </si>
  <si>
    <t>Ajeet Result</t>
  </si>
  <si>
    <t>Q.2: If Sales Greater Than Target then Target Achived otherwise Not Achived.</t>
  </si>
  <si>
    <t>Q.3: Rahul,Pooja and Ashok Target &amp; result?</t>
  </si>
  <si>
    <t>Rahul</t>
  </si>
  <si>
    <t>Target</t>
  </si>
  <si>
    <t>Result</t>
  </si>
  <si>
    <t>Pooja</t>
  </si>
  <si>
    <t>Ashok</t>
  </si>
  <si>
    <t>Q.4: How many Salesman Achived Target.</t>
  </si>
  <si>
    <t>Q.5: Which Sales Man Jan Sales 2000 &amp; Feb Sales is 2500?</t>
  </si>
  <si>
    <t xml:space="preserve">(Try to help me to solve question 5)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</si>
</sst>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2" t="s">
        <v>1</v>
      </c>
      <c r="B1" s="2"/>
      <c r="C1" s="2"/>
      <c r="D1" s="2"/>
      <c r="E1" s="2"/>
    </row>
    <row r="2" spans="1:10" x14ac:dyDescent="0.35">
      <c r="A2" s="2" t="s">
        <v>0</v>
      </c>
      <c r="B2" s="2"/>
      <c r="C2" s="2"/>
      <c r="D2" s="2"/>
      <c r="E2" s="2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2" t="s">
        <v>37</v>
      </c>
      <c r="B1" s="2"/>
      <c r="C1" s="2"/>
      <c r="D1" s="2"/>
      <c r="E1" s="2"/>
    </row>
    <row r="2" spans="1:6" x14ac:dyDescent="0.35">
      <c r="A2" s="2" t="s">
        <v>38</v>
      </c>
      <c r="B2" s="2"/>
      <c r="C2" s="2"/>
      <c r="D2" s="2"/>
      <c r="E2" s="2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2" t="s">
        <v>66</v>
      </c>
      <c r="B1" s="2"/>
      <c r="C1" s="2"/>
      <c r="D1" s="2"/>
      <c r="E1" s="2"/>
      <c r="F1" s="2"/>
      <c r="G1" s="2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2DE1-37AE-479C-B23C-7A4A1886ABDB}">
  <dimension ref="A1:I25"/>
  <sheetViews>
    <sheetView topLeftCell="A12" workbookViewId="0">
      <selection activeCell="C26" sqref="C26"/>
    </sheetView>
  </sheetViews>
  <sheetFormatPr defaultRowHeight="14.5" x14ac:dyDescent="0.35"/>
  <cols>
    <col min="2" max="2" width="13.81640625" customWidth="1"/>
    <col min="3" max="3" width="13.26953125" customWidth="1"/>
  </cols>
  <sheetData>
    <row r="1" spans="1:9" x14ac:dyDescent="0.35">
      <c r="A1" t="s">
        <v>87</v>
      </c>
    </row>
    <row r="3" spans="1:9" x14ac:dyDescent="0.35">
      <c r="A3" s="1" t="s">
        <v>88</v>
      </c>
      <c r="B3" s="1" t="s">
        <v>94</v>
      </c>
      <c r="C3" s="1" t="s">
        <v>97</v>
      </c>
      <c r="D3" s="1" t="s">
        <v>104</v>
      </c>
      <c r="E3" s="1" t="s">
        <v>105</v>
      </c>
      <c r="F3" s="1" t="s">
        <v>112</v>
      </c>
      <c r="G3" s="1" t="s">
        <v>113</v>
      </c>
      <c r="H3" s="1" t="s">
        <v>80</v>
      </c>
      <c r="I3" s="1" t="s">
        <v>65</v>
      </c>
    </row>
    <row r="4" spans="1:9" x14ac:dyDescent="0.35">
      <c r="A4" s="1" t="s">
        <v>5</v>
      </c>
      <c r="B4" s="1" t="s">
        <v>47</v>
      </c>
      <c r="C4" s="1" t="s">
        <v>98</v>
      </c>
      <c r="D4" s="1">
        <v>5000</v>
      </c>
      <c r="E4" s="1">
        <f>(D4*2.5)/100</f>
        <v>125</v>
      </c>
      <c r="F4" s="1">
        <f>(D4*3.5)/100</f>
        <v>175</v>
      </c>
      <c r="G4" s="1">
        <f>(D4*1.5)/100</f>
        <v>75</v>
      </c>
      <c r="H4" s="1">
        <f>SUM(D4:G4)</f>
        <v>5375</v>
      </c>
      <c r="I4" s="1" t="str">
        <f>IF(H4&gt;20000,"A",IF(H4&gt;10000,"B","C"))</f>
        <v>C</v>
      </c>
    </row>
    <row r="5" spans="1:9" x14ac:dyDescent="0.35">
      <c r="A5" s="1" t="s">
        <v>89</v>
      </c>
      <c r="B5" s="1" t="s">
        <v>47</v>
      </c>
      <c r="C5" s="1" t="s">
        <v>99</v>
      </c>
      <c r="D5" s="1">
        <v>8000</v>
      </c>
      <c r="E5" s="1">
        <f t="shared" ref="E5:E11" si="0">(D5*2.5)/100</f>
        <v>200</v>
      </c>
      <c r="F5" s="1">
        <f t="shared" ref="F5:F11" si="1">(D5*3.5)/100</f>
        <v>280</v>
      </c>
      <c r="G5" s="1">
        <f t="shared" ref="G5:G11" si="2">(D5*1.5)/100</f>
        <v>120</v>
      </c>
      <c r="H5" s="1">
        <f t="shared" ref="H5:H11" si="3">SUM(D5:G5)</f>
        <v>8600</v>
      </c>
      <c r="I5" s="1" t="str">
        <f t="shared" ref="I5:I11" si="4">IF(H5&gt;20000,"A",IF(H5&gt;10000,"B","C"))</f>
        <v>C</v>
      </c>
    </row>
    <row r="6" spans="1:9" x14ac:dyDescent="0.35">
      <c r="A6" s="1" t="s">
        <v>7</v>
      </c>
      <c r="B6" s="1" t="s">
        <v>47</v>
      </c>
      <c r="C6" s="1" t="s">
        <v>100</v>
      </c>
      <c r="D6" s="1">
        <v>3000</v>
      </c>
      <c r="E6" s="1">
        <f t="shared" si="0"/>
        <v>75</v>
      </c>
      <c r="F6" s="1">
        <f t="shared" si="1"/>
        <v>105</v>
      </c>
      <c r="G6" s="1">
        <f t="shared" si="2"/>
        <v>45</v>
      </c>
      <c r="H6" s="1">
        <f t="shared" si="3"/>
        <v>3225</v>
      </c>
      <c r="I6" s="1" t="str">
        <f t="shared" si="4"/>
        <v>C</v>
      </c>
    </row>
    <row r="7" spans="1:9" x14ac:dyDescent="0.35">
      <c r="A7" s="1" t="s">
        <v>10</v>
      </c>
      <c r="B7" s="1" t="s">
        <v>95</v>
      </c>
      <c r="C7" s="1" t="s">
        <v>101</v>
      </c>
      <c r="D7" s="1">
        <v>6000</v>
      </c>
      <c r="E7" s="1">
        <f t="shared" si="0"/>
        <v>150</v>
      </c>
      <c r="F7" s="1">
        <f t="shared" si="1"/>
        <v>210</v>
      </c>
      <c r="G7" s="1">
        <f t="shared" si="2"/>
        <v>90</v>
      </c>
      <c r="H7" s="1">
        <f t="shared" si="3"/>
        <v>6450</v>
      </c>
      <c r="I7" s="1" t="str">
        <f t="shared" si="4"/>
        <v>C</v>
      </c>
    </row>
    <row r="8" spans="1:9" x14ac:dyDescent="0.35">
      <c r="A8" s="1" t="s">
        <v>90</v>
      </c>
      <c r="B8" s="1" t="s">
        <v>95</v>
      </c>
      <c r="C8" s="1" t="s">
        <v>102</v>
      </c>
      <c r="D8" s="1">
        <v>8000</v>
      </c>
      <c r="E8" s="1">
        <f t="shared" si="0"/>
        <v>200</v>
      </c>
      <c r="F8" s="1">
        <f t="shared" si="1"/>
        <v>280</v>
      </c>
      <c r="G8" s="1">
        <f t="shared" si="2"/>
        <v>120</v>
      </c>
      <c r="H8" s="1">
        <f t="shared" si="3"/>
        <v>8600</v>
      </c>
      <c r="I8" s="1" t="str">
        <f t="shared" si="4"/>
        <v>C</v>
      </c>
    </row>
    <row r="9" spans="1:9" x14ac:dyDescent="0.35">
      <c r="A9" s="1" t="s">
        <v>91</v>
      </c>
      <c r="B9" s="1" t="s">
        <v>95</v>
      </c>
      <c r="C9" s="1" t="s">
        <v>103</v>
      </c>
      <c r="D9" s="1">
        <v>9000</v>
      </c>
      <c r="E9" s="1">
        <f t="shared" si="0"/>
        <v>225</v>
      </c>
      <c r="F9" s="1">
        <f t="shared" si="1"/>
        <v>315</v>
      </c>
      <c r="G9" s="1">
        <f t="shared" si="2"/>
        <v>135</v>
      </c>
      <c r="H9" s="1">
        <f t="shared" si="3"/>
        <v>9675</v>
      </c>
      <c r="I9" s="1" t="str">
        <f t="shared" si="4"/>
        <v>C</v>
      </c>
    </row>
    <row r="10" spans="1:9" x14ac:dyDescent="0.35">
      <c r="A10" s="1" t="s">
        <v>92</v>
      </c>
      <c r="B10" s="1" t="s">
        <v>96</v>
      </c>
      <c r="C10" s="1" t="s">
        <v>98</v>
      </c>
      <c r="D10" s="1">
        <v>10000</v>
      </c>
      <c r="E10" s="1">
        <f t="shared" si="0"/>
        <v>250</v>
      </c>
      <c r="F10" s="1">
        <f t="shared" si="1"/>
        <v>350</v>
      </c>
      <c r="G10" s="1">
        <f t="shared" si="2"/>
        <v>150</v>
      </c>
      <c r="H10" s="1">
        <f t="shared" si="3"/>
        <v>10750</v>
      </c>
      <c r="I10" s="1" t="str">
        <f t="shared" si="4"/>
        <v>B</v>
      </c>
    </row>
    <row r="11" spans="1:9" x14ac:dyDescent="0.35">
      <c r="A11" s="1" t="s">
        <v>93</v>
      </c>
      <c r="B11" s="1" t="s">
        <v>96</v>
      </c>
      <c r="C11" s="1" t="s">
        <v>101</v>
      </c>
      <c r="D11" s="1">
        <v>5000</v>
      </c>
      <c r="E11" s="1">
        <f t="shared" si="0"/>
        <v>125</v>
      </c>
      <c r="F11" s="1">
        <f t="shared" si="1"/>
        <v>175</v>
      </c>
      <c r="G11" s="1">
        <f t="shared" si="2"/>
        <v>75</v>
      </c>
      <c r="H11" s="1">
        <f t="shared" si="3"/>
        <v>5375</v>
      </c>
      <c r="I11" s="1" t="str">
        <f t="shared" si="4"/>
        <v>C</v>
      </c>
    </row>
    <row r="13" spans="1:9" x14ac:dyDescent="0.35">
      <c r="A13" t="s">
        <v>106</v>
      </c>
    </row>
    <row r="14" spans="1:9" x14ac:dyDescent="0.35">
      <c r="A14" t="s">
        <v>107</v>
      </c>
      <c r="C14">
        <f>COUNTIF(B3:B11,"COMPUTER")</f>
        <v>3</v>
      </c>
    </row>
    <row r="15" spans="1:9" x14ac:dyDescent="0.35">
      <c r="A15" t="s">
        <v>108</v>
      </c>
      <c r="C15">
        <f>COUNTIF(B4:B11,"FINANCE")</f>
        <v>2</v>
      </c>
    </row>
    <row r="16" spans="1:9" x14ac:dyDescent="0.35">
      <c r="A16" t="s">
        <v>95</v>
      </c>
      <c r="C16">
        <f>COUNTIF(B4:B11,"ELECTRICAL")</f>
        <v>3</v>
      </c>
    </row>
    <row r="17" spans="1:7" x14ac:dyDescent="0.35">
      <c r="A17" t="s">
        <v>109</v>
      </c>
    </row>
    <row r="18" spans="1:7" x14ac:dyDescent="0.35">
      <c r="A18" t="s">
        <v>110</v>
      </c>
      <c r="B18">
        <f>SUMIF(B4:B11,"COMPUTER",D4:D11)</f>
        <v>16000</v>
      </c>
    </row>
    <row r="19" spans="1:7" x14ac:dyDescent="0.35">
      <c r="A19" t="s">
        <v>111</v>
      </c>
    </row>
    <row r="20" spans="1:7" x14ac:dyDescent="0.35">
      <c r="A20" t="s">
        <v>114</v>
      </c>
      <c r="C20" t="str">
        <f>VLOOKUP(A6,A3:H11,3,FALSE)</f>
        <v>PION</v>
      </c>
      <c r="E20" t="s">
        <v>116</v>
      </c>
      <c r="G20" t="str">
        <f>VLOOKUP(A10,A3:H11,3,FALSE)</f>
        <v>MANAGER</v>
      </c>
    </row>
    <row r="21" spans="1:7" x14ac:dyDescent="0.35">
      <c r="A21" t="s">
        <v>115</v>
      </c>
      <c r="C21" t="str">
        <f>VLOOKUP(A6,A3:I11,9,FALSE)</f>
        <v>C</v>
      </c>
      <c r="E21" t="s">
        <v>117</v>
      </c>
      <c r="G21" t="str">
        <f>VLOOKUP(A10,A3:I11,9,FALSE)</f>
        <v>B</v>
      </c>
    </row>
    <row r="22" spans="1:7" x14ac:dyDescent="0.35">
      <c r="A22" t="s">
        <v>118</v>
      </c>
    </row>
    <row r="23" spans="1:7" x14ac:dyDescent="0.35">
      <c r="A23" t="s">
        <v>119</v>
      </c>
    </row>
    <row r="24" spans="1:7" x14ac:dyDescent="0.35">
      <c r="A24" t="s">
        <v>120</v>
      </c>
      <c r="C24">
        <f>COUNTIF(C4:C11,"MANAGER")</f>
        <v>2</v>
      </c>
    </row>
    <row r="25" spans="1:7" x14ac:dyDescent="0.35">
      <c r="A25" t="s">
        <v>121</v>
      </c>
      <c r="C25">
        <f>COUNTIF(C4:C11,"GUARD")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A902-77ED-4F87-9B85-B06CD7DAEB69}">
  <dimension ref="A1:J27"/>
  <sheetViews>
    <sheetView tabSelected="1" topLeftCell="A22" workbookViewId="0">
      <selection activeCell="B27" sqref="B27"/>
    </sheetView>
  </sheetViews>
  <sheetFormatPr defaultRowHeight="14.5" x14ac:dyDescent="0.35"/>
  <cols>
    <col min="1" max="1" width="11.1796875" customWidth="1"/>
    <col min="3" max="3" width="11.26953125" customWidth="1"/>
    <col min="9" max="9" width="11.90625" customWidth="1"/>
    <col min="10" max="10" width="14.90625" customWidth="1"/>
  </cols>
  <sheetData>
    <row r="1" spans="1:10" x14ac:dyDescent="0.35">
      <c r="A1" s="2" t="s">
        <v>122</v>
      </c>
      <c r="B1" s="2"/>
      <c r="C1" s="2"/>
      <c r="D1" s="2"/>
      <c r="E1" s="2"/>
      <c r="F1" s="2"/>
      <c r="G1" s="2"/>
      <c r="H1" s="2"/>
      <c r="I1" s="2"/>
      <c r="J1" s="2"/>
    </row>
    <row r="3" spans="1:10" x14ac:dyDescent="0.35">
      <c r="A3" t="s">
        <v>123</v>
      </c>
      <c r="B3" t="s">
        <v>130</v>
      </c>
      <c r="C3" t="s">
        <v>131</v>
      </c>
      <c r="D3" t="s">
        <v>132</v>
      </c>
      <c r="E3" t="s">
        <v>133</v>
      </c>
      <c r="F3" t="s">
        <v>134</v>
      </c>
      <c r="G3" t="s">
        <v>135</v>
      </c>
      <c r="H3" t="s">
        <v>136</v>
      </c>
      <c r="I3" t="s">
        <v>137</v>
      </c>
      <c r="J3" t="s">
        <v>138</v>
      </c>
    </row>
    <row r="4" spans="1:10" x14ac:dyDescent="0.35">
      <c r="A4" t="s">
        <v>124</v>
      </c>
      <c r="B4">
        <v>2000</v>
      </c>
      <c r="C4">
        <v>1500</v>
      </c>
      <c r="D4">
        <v>300</v>
      </c>
      <c r="E4">
        <v>1400</v>
      </c>
      <c r="F4">
        <v>1000</v>
      </c>
      <c r="G4">
        <v>1400</v>
      </c>
      <c r="H4">
        <f>SUM(B4:G4)</f>
        <v>7600</v>
      </c>
      <c r="I4">
        <v>10000</v>
      </c>
      <c r="J4" t="str">
        <f>IF(H4&gt;I4,"Target Achived","Not Achived")</f>
        <v>Not Achived</v>
      </c>
    </row>
    <row r="5" spans="1:10" x14ac:dyDescent="0.35">
      <c r="A5" t="s">
        <v>91</v>
      </c>
      <c r="B5">
        <v>5000</v>
      </c>
      <c r="C5">
        <v>1200</v>
      </c>
      <c r="D5">
        <v>500</v>
      </c>
      <c r="E5">
        <v>1200</v>
      </c>
      <c r="F5">
        <v>1200</v>
      </c>
      <c r="G5">
        <v>2800</v>
      </c>
      <c r="H5">
        <f t="shared" ref="H5:H14" si="0">SUM(B5:G5)</f>
        <v>11900</v>
      </c>
      <c r="I5">
        <v>12000</v>
      </c>
      <c r="J5" t="str">
        <f t="shared" ref="J5:J14" si="1">IF(H5&gt;I5,"Target Achived","Not Achived")</f>
        <v>Not Achived</v>
      </c>
    </row>
    <row r="6" spans="1:10" x14ac:dyDescent="0.35">
      <c r="A6" t="s">
        <v>90</v>
      </c>
      <c r="B6">
        <v>3000</v>
      </c>
      <c r="C6">
        <v>800</v>
      </c>
      <c r="D6">
        <v>1200</v>
      </c>
      <c r="E6">
        <v>3000</v>
      </c>
      <c r="F6">
        <v>1500</v>
      </c>
      <c r="G6">
        <v>3500</v>
      </c>
      <c r="H6">
        <f t="shared" si="0"/>
        <v>13000</v>
      </c>
      <c r="I6">
        <v>18000</v>
      </c>
      <c r="J6" t="str">
        <f t="shared" si="1"/>
        <v>Not Achived</v>
      </c>
    </row>
    <row r="7" spans="1:10" x14ac:dyDescent="0.35">
      <c r="A7" t="s">
        <v>10</v>
      </c>
      <c r="B7">
        <v>1000</v>
      </c>
      <c r="C7">
        <v>900</v>
      </c>
      <c r="D7">
        <v>1800</v>
      </c>
      <c r="E7">
        <v>5000</v>
      </c>
      <c r="F7">
        <v>1400</v>
      </c>
      <c r="G7">
        <v>1200</v>
      </c>
      <c r="H7">
        <f t="shared" si="0"/>
        <v>11300</v>
      </c>
      <c r="I7">
        <v>10000</v>
      </c>
      <c r="J7" t="str">
        <f t="shared" si="1"/>
        <v>Target Achived</v>
      </c>
    </row>
    <row r="8" spans="1:10" x14ac:dyDescent="0.35">
      <c r="A8" t="s">
        <v>7</v>
      </c>
      <c r="B8">
        <v>500</v>
      </c>
      <c r="C8">
        <v>1000</v>
      </c>
      <c r="D8">
        <v>2300</v>
      </c>
      <c r="E8">
        <v>8000</v>
      </c>
      <c r="F8">
        <v>1700</v>
      </c>
      <c r="G8">
        <v>1400</v>
      </c>
      <c r="H8">
        <f t="shared" si="0"/>
        <v>14900</v>
      </c>
      <c r="I8">
        <v>12000</v>
      </c>
      <c r="J8" t="str">
        <f t="shared" si="1"/>
        <v>Target Achived</v>
      </c>
    </row>
    <row r="9" spans="1:10" x14ac:dyDescent="0.35">
      <c r="A9" t="s">
        <v>6</v>
      </c>
      <c r="B9">
        <v>800</v>
      </c>
      <c r="C9">
        <v>500</v>
      </c>
      <c r="D9">
        <v>2400</v>
      </c>
      <c r="E9">
        <v>1900</v>
      </c>
      <c r="F9">
        <v>1800</v>
      </c>
      <c r="G9">
        <v>1800</v>
      </c>
      <c r="H9">
        <f t="shared" si="0"/>
        <v>9200</v>
      </c>
      <c r="I9">
        <v>10000</v>
      </c>
      <c r="J9" t="str">
        <f t="shared" si="1"/>
        <v>Not Achived</v>
      </c>
    </row>
    <row r="10" spans="1:10" x14ac:dyDescent="0.35">
      <c r="A10" t="s">
        <v>125</v>
      </c>
      <c r="B10">
        <v>1200</v>
      </c>
      <c r="C10">
        <v>1400</v>
      </c>
      <c r="D10">
        <v>1500</v>
      </c>
      <c r="E10">
        <v>700</v>
      </c>
      <c r="F10">
        <v>2500</v>
      </c>
      <c r="G10">
        <v>7000</v>
      </c>
      <c r="H10">
        <f t="shared" si="0"/>
        <v>14300</v>
      </c>
      <c r="I10">
        <v>12000</v>
      </c>
      <c r="J10" t="str">
        <f t="shared" si="1"/>
        <v>Target Achived</v>
      </c>
    </row>
    <row r="11" spans="1:10" x14ac:dyDescent="0.35">
      <c r="A11" t="s">
        <v>126</v>
      </c>
      <c r="B11">
        <v>1500</v>
      </c>
      <c r="C11">
        <v>1800</v>
      </c>
      <c r="D11">
        <v>1800</v>
      </c>
      <c r="E11">
        <v>1800</v>
      </c>
      <c r="F11">
        <v>300</v>
      </c>
      <c r="G11">
        <v>1500</v>
      </c>
      <c r="H11">
        <f t="shared" si="0"/>
        <v>8700</v>
      </c>
      <c r="I11">
        <v>10000</v>
      </c>
      <c r="J11" t="str">
        <f t="shared" si="1"/>
        <v>Not Achived</v>
      </c>
    </row>
    <row r="12" spans="1:10" x14ac:dyDescent="0.35">
      <c r="A12" t="s">
        <v>127</v>
      </c>
      <c r="B12">
        <v>1800</v>
      </c>
      <c r="C12">
        <v>2500</v>
      </c>
      <c r="D12">
        <v>1700</v>
      </c>
      <c r="E12">
        <v>1500</v>
      </c>
      <c r="F12">
        <v>2800</v>
      </c>
      <c r="G12">
        <v>1800</v>
      </c>
      <c r="H12">
        <f t="shared" si="0"/>
        <v>12100</v>
      </c>
      <c r="I12">
        <v>12000</v>
      </c>
      <c r="J12" t="str">
        <f t="shared" si="1"/>
        <v>Target Achived</v>
      </c>
    </row>
    <row r="13" spans="1:10" x14ac:dyDescent="0.35">
      <c r="A13" t="s">
        <v>128</v>
      </c>
      <c r="B13">
        <v>200</v>
      </c>
      <c r="C13">
        <v>3000</v>
      </c>
      <c r="D13">
        <v>1900</v>
      </c>
      <c r="E13">
        <v>1200</v>
      </c>
      <c r="F13">
        <v>1500</v>
      </c>
      <c r="G13">
        <v>3000</v>
      </c>
      <c r="H13">
        <f t="shared" si="0"/>
        <v>10800</v>
      </c>
      <c r="I13">
        <v>10000</v>
      </c>
      <c r="J13" t="str">
        <f t="shared" si="1"/>
        <v>Target Achived</v>
      </c>
    </row>
    <row r="14" spans="1:10" x14ac:dyDescent="0.35">
      <c r="A14" t="s">
        <v>129</v>
      </c>
      <c r="B14">
        <v>1600</v>
      </c>
      <c r="C14">
        <v>1200</v>
      </c>
      <c r="D14">
        <v>2000</v>
      </c>
      <c r="E14">
        <v>800</v>
      </c>
      <c r="F14">
        <v>1700</v>
      </c>
      <c r="G14">
        <v>800</v>
      </c>
      <c r="H14">
        <f t="shared" si="0"/>
        <v>8100</v>
      </c>
      <c r="I14">
        <v>10000</v>
      </c>
      <c r="J14" t="str">
        <f t="shared" si="1"/>
        <v>Not Achived</v>
      </c>
    </row>
    <row r="16" spans="1:10" x14ac:dyDescent="0.35">
      <c r="A16" t="s">
        <v>139</v>
      </c>
    </row>
    <row r="17" spans="1:10" x14ac:dyDescent="0.35">
      <c r="A17" t="s">
        <v>56</v>
      </c>
      <c r="B17">
        <f>COUNTA(A4:A14)</f>
        <v>11</v>
      </c>
      <c r="D17" t="s">
        <v>140</v>
      </c>
      <c r="F17">
        <f>VLOOKUP(A10,A3:I14,9,FALSE)</f>
        <v>12000</v>
      </c>
      <c r="H17" t="s">
        <v>141</v>
      </c>
      <c r="J17" t="str">
        <f>VLOOKUP(A10,A3:J14,10,FALSE)</f>
        <v>Target Achived</v>
      </c>
    </row>
    <row r="18" spans="1:10" x14ac:dyDescent="0.35">
      <c r="A18" t="s">
        <v>142</v>
      </c>
    </row>
    <row r="19" spans="1:10" x14ac:dyDescent="0.35">
      <c r="A19" t="s">
        <v>143</v>
      </c>
    </row>
    <row r="20" spans="1:10" x14ac:dyDescent="0.35">
      <c r="A20" t="s">
        <v>56</v>
      </c>
      <c r="B20" t="s">
        <v>144</v>
      </c>
      <c r="E20" t="s">
        <v>147</v>
      </c>
      <c r="H20" t="s">
        <v>148</v>
      </c>
    </row>
    <row r="21" spans="1:10" x14ac:dyDescent="0.35">
      <c r="B21" t="s">
        <v>145</v>
      </c>
      <c r="C21">
        <f>VLOOKUP(A6,A3:J14,9,FALSE)</f>
        <v>18000</v>
      </c>
      <c r="E21" t="s">
        <v>145</v>
      </c>
      <c r="F21">
        <f>VLOOKUP(A7,A3:J14,9,FALSE)</f>
        <v>10000</v>
      </c>
      <c r="H21" t="s">
        <v>145</v>
      </c>
      <c r="I21">
        <f>VLOOKUP(A9,A3:J14,9,FALSE)</f>
        <v>10000</v>
      </c>
    </row>
    <row r="22" spans="1:10" x14ac:dyDescent="0.35">
      <c r="B22" t="s">
        <v>146</v>
      </c>
      <c r="C22" t="str">
        <f>VLOOKUP(A6,A3:J14,10,FALSE)</f>
        <v>Not Achived</v>
      </c>
      <c r="E22" t="s">
        <v>146</v>
      </c>
      <c r="F22" t="str">
        <f>VLOOKUP(A7,A3:J14,10,FALSE)</f>
        <v>Target Achived</v>
      </c>
      <c r="H22" t="s">
        <v>146</v>
      </c>
      <c r="I22" t="str">
        <f>VLOOKUP(A9,A3:J14,10,FALSE)</f>
        <v>Not Achived</v>
      </c>
    </row>
    <row r="23" spans="1:10" x14ac:dyDescent="0.35">
      <c r="A23" t="s">
        <v>149</v>
      </c>
    </row>
    <row r="24" spans="1:10" x14ac:dyDescent="0.35">
      <c r="A24" t="s">
        <v>56</v>
      </c>
      <c r="B24">
        <f>COUNTIF(J4:J14,"Target Achived")</f>
        <v>5</v>
      </c>
    </row>
    <row r="25" spans="1:10" x14ac:dyDescent="0.35">
      <c r="A25" t="s">
        <v>150</v>
      </c>
    </row>
    <row r="26" spans="1:10" x14ac:dyDescent="0.35">
      <c r="A26" t="s">
        <v>56</v>
      </c>
      <c r="B26" t="e" cm="1">
        <f t="array" ref="B26">_xlfn.XLOOKUP(1,(B3:B14=2000)*(C4:C14=2500),A4:A14,"Not Found",0,)</f>
        <v>#VALUE!</v>
      </c>
    </row>
    <row r="27" spans="1:10" x14ac:dyDescent="0.35">
      <c r="B27" t="s">
        <v>151</v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Assignment-1</vt:lpstr>
      <vt:lpstr>Assignment-2</vt:lpstr>
      <vt:lpstr>Assignment-3</vt:lpstr>
      <vt:lpstr>Assignment-4</vt:lpstr>
      <vt:lpstr>Assignment-5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2026-07-05T12:50:12Z</dcterms:modified>
</cp:coreProperties>
</file>