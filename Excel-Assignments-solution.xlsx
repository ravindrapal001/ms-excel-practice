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ReClasses\Excel\"/>
    </mc:Choice>
  </mc:AlternateContent>
  <xr:revisionPtr revIDLastSave="0" documentId="13_ncr:1_{B8F9ADB3-8552-4C42-A158-5F08B5A6793C}" xr6:coauthVersionLast="47" xr6:coauthVersionMax="47" xr10:uidLastSave="{00000000-0000-0000-0000-000000000000}"/>
  <bookViews>
    <workbookView xWindow="-110" yWindow="-110" windowWidth="19420" windowHeight="10300" activeTab="3" xr2:uid="{7F6CA21F-FA47-42DF-92A2-56BFE6F74A15}"/>
  </bookViews>
  <sheets>
    <sheet name="Assignment-1" sheetId="1" r:id="rId1"/>
    <sheet name="Assignment-2" sheetId="2" r:id="rId2"/>
    <sheet name="Assignment-3" sheetId="3" r:id="rId3"/>
    <sheet name="Assignment-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4" l="1"/>
  <c r="C24" i="4"/>
  <c r="G21" i="4"/>
  <c r="C21" i="4"/>
  <c r="I5" i="4"/>
  <c r="I6" i="4"/>
  <c r="I7" i="4"/>
  <c r="I8" i="4"/>
  <c r="I9" i="4"/>
  <c r="I10" i="4"/>
  <c r="I11" i="4"/>
  <c r="I4" i="4"/>
  <c r="G20" i="4"/>
  <c r="C20" i="4"/>
  <c r="H5" i="4"/>
  <c r="H6" i="4"/>
  <c r="H7" i="4"/>
  <c r="H8" i="4"/>
  <c r="H9" i="4"/>
  <c r="H10" i="4"/>
  <c r="H11" i="4"/>
  <c r="G4" i="4"/>
  <c r="H4" i="4"/>
  <c r="G5" i="4"/>
  <c r="G6" i="4"/>
  <c r="G7" i="4"/>
  <c r="G8" i="4"/>
  <c r="G9" i="4"/>
  <c r="G10" i="4"/>
  <c r="G11" i="4"/>
  <c r="F5" i="4"/>
  <c r="F6" i="4"/>
  <c r="F7" i="4"/>
  <c r="F8" i="4"/>
  <c r="F9" i="4"/>
  <c r="F10" i="4"/>
  <c r="F11" i="4"/>
  <c r="F4" i="4"/>
  <c r="E5" i="4"/>
  <c r="E6" i="4"/>
  <c r="E7" i="4"/>
  <c r="E8" i="4"/>
  <c r="E9" i="4"/>
  <c r="E10" i="4"/>
  <c r="E11" i="4"/>
  <c r="E4" i="4"/>
  <c r="B18" i="4"/>
  <c r="C16" i="4"/>
  <c r="C15" i="4"/>
  <c r="C14" i="4"/>
  <c r="B21" i="3"/>
  <c r="G5" i="3"/>
  <c r="G6" i="3"/>
  <c r="G7" i="3"/>
  <c r="G8" i="3"/>
  <c r="G9" i="3"/>
  <c r="G10" i="3"/>
  <c r="G11" i="3"/>
  <c r="G12" i="3"/>
  <c r="G4" i="3"/>
  <c r="F5" i="3"/>
  <c r="F6" i="3"/>
  <c r="F7" i="3"/>
  <c r="F8" i="3"/>
  <c r="F9" i="3"/>
  <c r="F10" i="3"/>
  <c r="F11" i="3"/>
  <c r="F12" i="3"/>
  <c r="F4" i="3"/>
  <c r="B17" i="3"/>
  <c r="B15" i="3"/>
  <c r="E5" i="3"/>
  <c r="E6" i="3"/>
  <c r="E7" i="3"/>
  <c r="E8" i="3"/>
  <c r="E9" i="3"/>
  <c r="E10" i="3"/>
  <c r="E11" i="3"/>
  <c r="E12" i="3"/>
  <c r="E4" i="3"/>
  <c r="F6" i="2"/>
  <c r="F7" i="2"/>
  <c r="F8" i="2"/>
  <c r="F9" i="2"/>
  <c r="F10" i="2"/>
  <c r="F11" i="2"/>
  <c r="F12" i="2"/>
  <c r="F13" i="2"/>
  <c r="F14" i="2"/>
  <c r="F5" i="2"/>
  <c r="B26" i="2"/>
  <c r="B25" i="2"/>
  <c r="B24" i="2"/>
  <c r="D21" i="2"/>
  <c r="D20" i="2"/>
  <c r="B18" i="2"/>
  <c r="E6" i="2"/>
  <c r="E7" i="2"/>
  <c r="E8" i="2"/>
  <c r="E9" i="2"/>
  <c r="E10" i="2"/>
  <c r="E11" i="2"/>
  <c r="E12" i="2"/>
  <c r="E13" i="2"/>
  <c r="E14" i="2"/>
  <c r="E5" i="2"/>
  <c r="I29" i="1"/>
  <c r="G28" i="1"/>
  <c r="H27" i="1"/>
  <c r="C25" i="1"/>
  <c r="J15" i="1"/>
  <c r="J6" i="1"/>
  <c r="I7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I6" i="1"/>
  <c r="H7" i="1"/>
  <c r="H8" i="1"/>
  <c r="H9" i="1"/>
  <c r="H10" i="1"/>
  <c r="H11" i="1"/>
  <c r="H12" i="1"/>
  <c r="H13" i="1"/>
  <c r="H14" i="1"/>
  <c r="H15" i="1"/>
  <c r="H6" i="1"/>
  <c r="C23" i="1" l="1"/>
  <c r="F23" i="1"/>
  <c r="J7" i="1"/>
  <c r="D21" i="1" s="1"/>
  <c r="D20" i="1" l="1"/>
</calcChain>
</file>

<file path=xl/sharedStrings.xml><?xml version="1.0" encoding="utf-8"?>
<sst xmlns="http://schemas.openxmlformats.org/spreadsheetml/2006/main" count="140" uniqueCount="122">
  <si>
    <t>Assigment-1</t>
  </si>
  <si>
    <t>50 Ms Excel Assignments</t>
  </si>
  <si>
    <t>Use of Formulas Sum, Average,If,Count,Counta,Countif and Sumif</t>
  </si>
  <si>
    <t>Roll No</t>
  </si>
  <si>
    <t>Student Name</t>
  </si>
  <si>
    <t>RAM</t>
  </si>
  <si>
    <t>ASHOK</t>
  </si>
  <si>
    <t>MANOJ</t>
  </si>
  <si>
    <t>RAJESH</t>
  </si>
  <si>
    <t>RANJANA</t>
  </si>
  <si>
    <t>POOJA</t>
  </si>
  <si>
    <t>MAHESH</t>
  </si>
  <si>
    <t>ASHUTOSH</t>
  </si>
  <si>
    <t>ANIL</t>
  </si>
  <si>
    <t>PREM</t>
  </si>
  <si>
    <t>Hindi</t>
  </si>
  <si>
    <t>English</t>
  </si>
  <si>
    <t>Math</t>
  </si>
  <si>
    <t>Physics</t>
  </si>
  <si>
    <t>Chemistry</t>
  </si>
  <si>
    <t>Total</t>
  </si>
  <si>
    <t>Q.1: Find the Total Number &amp; Average in all Subjects in Each Student.</t>
  </si>
  <si>
    <t xml:space="preserve">Average </t>
  </si>
  <si>
    <t>Q.2: Find Grade Using If Function- If Average Greater &gt; 15 then "A" Grade otherwise "B" Grade.</t>
  </si>
  <si>
    <t>Grade</t>
  </si>
  <si>
    <t>Q.3: How Many Student "A" and "B" Grade</t>
  </si>
  <si>
    <t xml:space="preserve">Ans: No of Students having "A" are </t>
  </si>
  <si>
    <t xml:space="preserve">         No of Students having "B" are </t>
  </si>
  <si>
    <t>Q.4: Student Ashok and Manoj Total Number and Average</t>
  </si>
  <si>
    <t>Ans: Total Number</t>
  </si>
  <si>
    <t>Avearage</t>
  </si>
  <si>
    <t>Q.5: Count how many students</t>
  </si>
  <si>
    <t>Ans: Total Students</t>
  </si>
  <si>
    <t>Q.6: How many student Hindi &amp; English Subject Number Greater then &gt;20 and &lt;15.</t>
  </si>
  <si>
    <t>Ans: No of Students having Hindi Subject Number Greater then &gt;20 are</t>
  </si>
  <si>
    <t xml:space="preserve">         No of Students having English Subject Number less then &lt;15 are</t>
  </si>
  <si>
    <t>No of Students having Hindi &amp; English Subject Number Greater then &gt;20 and &lt;15 are</t>
  </si>
  <si>
    <t>Assignment - 2</t>
  </si>
  <si>
    <t>Use of Formulas-Product,If,Counta,Countif,Sumif</t>
  </si>
  <si>
    <t>SRNO</t>
  </si>
  <si>
    <t>ITEMS</t>
  </si>
  <si>
    <t>AC</t>
  </si>
  <si>
    <t>FRIDGE</t>
  </si>
  <si>
    <t>COOLER</t>
  </si>
  <si>
    <t>WASHING MACHINE</t>
  </si>
  <si>
    <t>TV</t>
  </si>
  <si>
    <t>FAN</t>
  </si>
  <si>
    <t>COMPUTER</t>
  </si>
  <si>
    <t>KEYBOARD</t>
  </si>
  <si>
    <t>MOUSE</t>
  </si>
  <si>
    <t>PRINTER</t>
  </si>
  <si>
    <t>QTY</t>
  </si>
  <si>
    <t>RATE</t>
  </si>
  <si>
    <t>AMOUNT</t>
  </si>
  <si>
    <t>Q.1: Using of Product Formula for Calculate Amount=Qty*Rate</t>
  </si>
  <si>
    <t>Q.2: How many Items in a List</t>
  </si>
  <si>
    <t xml:space="preserve">Ans: </t>
  </si>
  <si>
    <t>Q.3: How many Items qty Greater then &gt;20 and Less then &lt;20</t>
  </si>
  <si>
    <t>Ans: No of items qty greater then &gt;20 are</t>
  </si>
  <si>
    <t xml:space="preserve">         No of items qty less then &lt;20 are</t>
  </si>
  <si>
    <t>Ans: Qty</t>
  </si>
  <si>
    <t xml:space="preserve">   Rate</t>
  </si>
  <si>
    <t xml:space="preserve">  Amount</t>
  </si>
  <si>
    <t>Q.4: Calculate item computer Qty,Rate and amount .</t>
  </si>
  <si>
    <t>Q.5: If items Amount is Greater&gt;500000, Then items "Expensive" otherwise "Lets Buy it".</t>
  </si>
  <si>
    <t>GRADE</t>
  </si>
  <si>
    <t>Use of Formulas- Sum,NestedIf,Counta,Countif,Sumif,Vlookup</t>
  </si>
  <si>
    <t>SUBJECT</t>
  </si>
  <si>
    <t>HINDI</t>
  </si>
  <si>
    <t>ENGLISH</t>
  </si>
  <si>
    <t>MATH</t>
  </si>
  <si>
    <t>PHYSICS</t>
  </si>
  <si>
    <t>CHEMISTRY</t>
  </si>
  <si>
    <t>HISTORY</t>
  </si>
  <si>
    <t>GEO</t>
  </si>
  <si>
    <t>BIO</t>
  </si>
  <si>
    <t>BOTANY</t>
  </si>
  <si>
    <t>1ST</t>
  </si>
  <si>
    <t>2ND</t>
  </si>
  <si>
    <t>3RD</t>
  </si>
  <si>
    <t>TOTAL</t>
  </si>
  <si>
    <t>Q.1: How many subject?</t>
  </si>
  <si>
    <t>Q.2: How many subject 1 paper greater then 20?</t>
  </si>
  <si>
    <t>AVERAGE</t>
  </si>
  <si>
    <t>Q.3: Subject Hindi,Math and English total no.  And Average</t>
  </si>
  <si>
    <t>Q.4: If Avg. Greater than 20 then "A",If Avg. Greater than 15 "B",otherwise "C"</t>
  </si>
  <si>
    <t>Q.5: Subject Physics,Maths and English Total/Average</t>
  </si>
  <si>
    <t>Use of Formulas - Sum, NestedIf, Counta, Countif, Sumif, Vlookup</t>
  </si>
  <si>
    <t>NAME</t>
  </si>
  <si>
    <t>SHYAM</t>
  </si>
  <si>
    <t>RAHUL</t>
  </si>
  <si>
    <t>RAKESH</t>
  </si>
  <si>
    <t>ASHISH</t>
  </si>
  <si>
    <t>MANISH</t>
  </si>
  <si>
    <t>DEPARTMENT</t>
  </si>
  <si>
    <t>ELECTRICAL</t>
  </si>
  <si>
    <t>FINANCE</t>
  </si>
  <si>
    <t>POST</t>
  </si>
  <si>
    <t>MANAGER</t>
  </si>
  <si>
    <t>SUPERVISOR</t>
  </si>
  <si>
    <t>PION</t>
  </si>
  <si>
    <t>GUARD</t>
  </si>
  <si>
    <t>CASHER</t>
  </si>
  <si>
    <t>ACCOUNTANT</t>
  </si>
  <si>
    <t>BASIC</t>
  </si>
  <si>
    <t>DA 2.5%</t>
  </si>
  <si>
    <t>Q.1:  HOW MANY EMPLOYEE IN COMPUTER, FINANCE, ELECTRICAL DEPARTMENT.</t>
  </si>
  <si>
    <t>Ans: COMPUTER</t>
  </si>
  <si>
    <t xml:space="preserve">   FINANCE</t>
  </si>
  <si>
    <t>Q.2: HOW MANY BASIC SALARY IN COMPUTER DEPARTMENT ONLY?</t>
  </si>
  <si>
    <t>Ans:</t>
  </si>
  <si>
    <t>Q.3: MANOJ , ASHISH POST &amp; GRADE</t>
  </si>
  <si>
    <t>HRA 3.5%</t>
  </si>
  <si>
    <t>PF 1.5%</t>
  </si>
  <si>
    <t>Ans:  MANOJ POST</t>
  </si>
  <si>
    <t xml:space="preserve">          MANOJ GRADE</t>
  </si>
  <si>
    <t>ASHISH POST</t>
  </si>
  <si>
    <t>ASHISH GRADE</t>
  </si>
  <si>
    <t>Q.4: IF TOTAL SALARY IS GREATER THEN 20000 THEN "A", IF TOTAL SALARY GREATER THEN 10000 THEN "B", OTHERWISE "C".</t>
  </si>
  <si>
    <t>Q.5: HOW MANY EMPLOYEE IS MANAGER &amp; GUARD?</t>
  </si>
  <si>
    <t>Ans: MANAGER:</t>
  </si>
  <si>
    <t xml:space="preserve">         GUARD: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</si>
</sst>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40B2-D6E8-420D-BAD3-66513A92FF36}">
  <dimension ref="A1:J29"/>
  <sheetViews>
    <sheetView workbookViewId="0">
      <selection activeCell="I30" sqref="I30"/>
    </sheetView>
  </sheetViews>
  <sheetFormatPr defaultRowHeight="14.5" x14ac:dyDescent="0.35"/>
  <cols>
    <col min="2" max="2" width="13.36328125" customWidth="1"/>
    <col min="6" max="6" width="9.6328125" customWidth="1"/>
  </cols>
  <sheetData>
    <row r="1" spans="1:10" x14ac:dyDescent="0.35">
      <c r="A1" s="2" t="s">
        <v>1</v>
      </c>
      <c r="B1" s="2"/>
      <c r="C1" s="2"/>
      <c r="D1" s="2"/>
      <c r="E1" s="2"/>
    </row>
    <row r="2" spans="1:10" x14ac:dyDescent="0.35">
      <c r="A2" s="2" t="s">
        <v>0</v>
      </c>
      <c r="B2" s="2"/>
      <c r="C2" s="2"/>
      <c r="D2" s="2"/>
      <c r="E2" s="2"/>
    </row>
    <row r="4" spans="1:10" x14ac:dyDescent="0.35">
      <c r="A4" t="s">
        <v>2</v>
      </c>
    </row>
    <row r="5" spans="1:10" x14ac:dyDescent="0.35">
      <c r="A5" t="s">
        <v>3</v>
      </c>
      <c r="B5" t="s">
        <v>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22</v>
      </c>
      <c r="J5" t="s">
        <v>24</v>
      </c>
    </row>
    <row r="6" spans="1:10" x14ac:dyDescent="0.35">
      <c r="A6">
        <v>1</v>
      </c>
      <c r="B6" t="s">
        <v>5</v>
      </c>
      <c r="C6">
        <v>20</v>
      </c>
      <c r="D6">
        <v>10</v>
      </c>
      <c r="E6">
        <v>14</v>
      </c>
      <c r="F6">
        <v>18</v>
      </c>
      <c r="G6">
        <v>15</v>
      </c>
      <c r="H6">
        <f>SUM(C6:G6)</f>
        <v>77</v>
      </c>
      <c r="I6">
        <f>AVERAGE(C6:G6)</f>
        <v>15.4</v>
      </c>
      <c r="J6" t="str">
        <f>IF(I6&gt;15,"A","B")</f>
        <v>A</v>
      </c>
    </row>
    <row r="7" spans="1:10" x14ac:dyDescent="0.35">
      <c r="A7">
        <v>2</v>
      </c>
      <c r="B7" t="s">
        <v>6</v>
      </c>
      <c r="C7">
        <v>21</v>
      </c>
      <c r="D7">
        <v>12</v>
      </c>
      <c r="E7">
        <v>14</v>
      </c>
      <c r="F7">
        <v>12</v>
      </c>
      <c r="G7">
        <v>18</v>
      </c>
      <c r="H7">
        <f t="shared" ref="H7:H15" si="0">SUM(C7:G7)</f>
        <v>77</v>
      </c>
      <c r="I7">
        <f t="shared" ref="I7:I15" si="1">AVERAGE(C7:G7)</f>
        <v>15.4</v>
      </c>
      <c r="J7" t="str">
        <f t="shared" ref="J7:J15" si="2">IF(I7&gt;15,"A","B")</f>
        <v>A</v>
      </c>
    </row>
    <row r="8" spans="1:10" x14ac:dyDescent="0.35">
      <c r="A8">
        <v>3</v>
      </c>
      <c r="B8" t="s">
        <v>7</v>
      </c>
      <c r="C8">
        <v>33</v>
      </c>
      <c r="D8">
        <v>15</v>
      </c>
      <c r="E8">
        <v>7</v>
      </c>
      <c r="F8">
        <v>14</v>
      </c>
      <c r="G8">
        <v>17</v>
      </c>
      <c r="H8">
        <f t="shared" si="0"/>
        <v>86</v>
      </c>
      <c r="I8">
        <f t="shared" si="1"/>
        <v>17.2</v>
      </c>
      <c r="J8" t="str">
        <f t="shared" si="2"/>
        <v>A</v>
      </c>
    </row>
    <row r="9" spans="1:10" x14ac:dyDescent="0.35">
      <c r="A9">
        <v>4</v>
      </c>
      <c r="B9" t="s">
        <v>8</v>
      </c>
      <c r="C9">
        <v>15</v>
      </c>
      <c r="D9">
        <v>14</v>
      </c>
      <c r="E9">
        <v>8</v>
      </c>
      <c r="F9">
        <v>16</v>
      </c>
      <c r="G9">
        <v>20</v>
      </c>
      <c r="H9">
        <f t="shared" si="0"/>
        <v>73</v>
      </c>
      <c r="I9">
        <f t="shared" si="1"/>
        <v>14.6</v>
      </c>
      <c r="J9" t="str">
        <f t="shared" si="2"/>
        <v>B</v>
      </c>
    </row>
    <row r="10" spans="1:10" x14ac:dyDescent="0.35">
      <c r="A10">
        <v>5</v>
      </c>
      <c r="B10" t="s">
        <v>9</v>
      </c>
      <c r="C10">
        <v>14</v>
      </c>
      <c r="D10">
        <v>17</v>
      </c>
      <c r="E10">
        <v>10</v>
      </c>
      <c r="F10">
        <v>13</v>
      </c>
      <c r="G10">
        <v>18</v>
      </c>
      <c r="H10">
        <f t="shared" si="0"/>
        <v>72</v>
      </c>
      <c r="I10">
        <f t="shared" si="1"/>
        <v>14.4</v>
      </c>
      <c r="J10" t="str">
        <f t="shared" si="2"/>
        <v>B</v>
      </c>
    </row>
    <row r="11" spans="1:10" x14ac:dyDescent="0.35">
      <c r="A11">
        <v>6</v>
      </c>
      <c r="B11" t="s">
        <v>10</v>
      </c>
      <c r="C11">
        <v>16</v>
      </c>
      <c r="D11">
        <v>8</v>
      </c>
      <c r="E11">
        <v>20</v>
      </c>
      <c r="F11">
        <v>17</v>
      </c>
      <c r="G11">
        <v>15</v>
      </c>
      <c r="H11">
        <f t="shared" si="0"/>
        <v>76</v>
      </c>
      <c r="I11">
        <f t="shared" si="1"/>
        <v>15.2</v>
      </c>
      <c r="J11" t="str">
        <f t="shared" si="2"/>
        <v>A</v>
      </c>
    </row>
    <row r="12" spans="1:10" x14ac:dyDescent="0.35">
      <c r="A12">
        <v>7</v>
      </c>
      <c r="B12" t="s">
        <v>11</v>
      </c>
      <c r="C12">
        <v>18</v>
      </c>
      <c r="D12">
        <v>19</v>
      </c>
      <c r="E12">
        <v>3</v>
      </c>
      <c r="F12">
        <v>10</v>
      </c>
      <c r="G12">
        <v>14</v>
      </c>
      <c r="H12">
        <f t="shared" si="0"/>
        <v>64</v>
      </c>
      <c r="I12">
        <f t="shared" si="1"/>
        <v>12.8</v>
      </c>
      <c r="J12" t="str">
        <f t="shared" si="2"/>
        <v>B</v>
      </c>
    </row>
    <row r="13" spans="1:10" x14ac:dyDescent="0.35">
      <c r="A13">
        <v>8</v>
      </c>
      <c r="B13" t="s">
        <v>12</v>
      </c>
      <c r="C13">
        <v>19</v>
      </c>
      <c r="D13">
        <v>20</v>
      </c>
      <c r="E13">
        <v>7</v>
      </c>
      <c r="F13">
        <v>14</v>
      </c>
      <c r="G13">
        <v>18</v>
      </c>
      <c r="H13">
        <f t="shared" si="0"/>
        <v>78</v>
      </c>
      <c r="I13">
        <f t="shared" si="1"/>
        <v>15.6</v>
      </c>
      <c r="J13" t="str">
        <f t="shared" si="2"/>
        <v>A</v>
      </c>
    </row>
    <row r="14" spans="1:10" x14ac:dyDescent="0.35">
      <c r="A14">
        <v>9</v>
      </c>
      <c r="B14" t="s">
        <v>13</v>
      </c>
      <c r="C14">
        <v>22</v>
      </c>
      <c r="D14">
        <v>13</v>
      </c>
      <c r="E14">
        <v>8</v>
      </c>
      <c r="F14">
        <v>12</v>
      </c>
      <c r="G14">
        <v>19</v>
      </c>
      <c r="H14">
        <f t="shared" si="0"/>
        <v>74</v>
      </c>
      <c r="I14">
        <f t="shared" si="1"/>
        <v>14.8</v>
      </c>
      <c r="J14" t="str">
        <f t="shared" si="2"/>
        <v>B</v>
      </c>
    </row>
    <row r="15" spans="1:10" x14ac:dyDescent="0.35">
      <c r="A15">
        <v>10</v>
      </c>
      <c r="B15" t="s">
        <v>14</v>
      </c>
      <c r="C15">
        <v>26</v>
      </c>
      <c r="D15">
        <v>12</v>
      </c>
      <c r="E15">
        <v>10</v>
      </c>
      <c r="F15">
        <v>11</v>
      </c>
      <c r="G15">
        <v>27</v>
      </c>
      <c r="H15">
        <f t="shared" si="0"/>
        <v>86</v>
      </c>
      <c r="I15">
        <f t="shared" si="1"/>
        <v>17.2</v>
      </c>
      <c r="J15" t="str">
        <f t="shared" si="2"/>
        <v>A</v>
      </c>
    </row>
    <row r="17" spans="1:9" x14ac:dyDescent="0.35">
      <c r="A17" t="s">
        <v>21</v>
      </c>
    </row>
    <row r="18" spans="1:9" x14ac:dyDescent="0.35">
      <c r="A18" t="s">
        <v>23</v>
      </c>
    </row>
    <row r="19" spans="1:9" x14ac:dyDescent="0.35">
      <c r="A19" t="s">
        <v>25</v>
      </c>
    </row>
    <row r="20" spans="1:9" x14ac:dyDescent="0.35">
      <c r="A20" t="s">
        <v>26</v>
      </c>
      <c r="D20">
        <f>COUNTIF($J$6:$J$15,"A")</f>
        <v>6</v>
      </c>
    </row>
    <row r="21" spans="1:9" x14ac:dyDescent="0.35">
      <c r="A21" t="s">
        <v>27</v>
      </c>
      <c r="D21">
        <f>COUNTIF($J$6:$J$15,"B")</f>
        <v>4</v>
      </c>
    </row>
    <row r="22" spans="1:9" x14ac:dyDescent="0.35">
      <c r="A22" t="s">
        <v>28</v>
      </c>
    </row>
    <row r="23" spans="1:9" x14ac:dyDescent="0.35">
      <c r="A23" t="s">
        <v>29</v>
      </c>
      <c r="C23">
        <f>SUMIF(B6:B15,"ASHOK",H6:H15)+SUMIF(B6:B15,"MANOJ",H6:H15)</f>
        <v>163</v>
      </c>
      <c r="E23" t="s">
        <v>30</v>
      </c>
      <c r="F23">
        <f>AVERAGE(SUMIF(B6:B15,"ASHOK",I6:I15)+SUMIF(B6:B15,"MANOJ",I6:I15))</f>
        <v>32.6</v>
      </c>
    </row>
    <row r="24" spans="1:9" x14ac:dyDescent="0.35">
      <c r="A24" t="s">
        <v>31</v>
      </c>
    </row>
    <row r="25" spans="1:9" x14ac:dyDescent="0.35">
      <c r="A25" t="s">
        <v>32</v>
      </c>
      <c r="C25">
        <f>COUNTA(B6:B15)</f>
        <v>10</v>
      </c>
    </row>
    <row r="26" spans="1:9" x14ac:dyDescent="0.35">
      <c r="A26" t="s">
        <v>33</v>
      </c>
    </row>
    <row r="27" spans="1:9" x14ac:dyDescent="0.35">
      <c r="A27" t="s">
        <v>34</v>
      </c>
      <c r="H27">
        <f>COUNTIF(C6:C15,"&gt;20")</f>
        <v>4</v>
      </c>
    </row>
    <row r="28" spans="1:9" x14ac:dyDescent="0.35">
      <c r="A28" t="s">
        <v>35</v>
      </c>
      <c r="G28">
        <f>COUNTIF(D6:D15,"&lt;15")</f>
        <v>6</v>
      </c>
    </row>
    <row r="29" spans="1:9" x14ac:dyDescent="0.35">
      <c r="A29" t="s">
        <v>36</v>
      </c>
      <c r="I29">
        <f>COUNTIFS(C6:C15,"&gt;20",D6:D15,"&lt;15")</f>
        <v>3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9099-0CE0-43AA-BF38-3A1414E5E90C}">
  <dimension ref="A1:F27"/>
  <sheetViews>
    <sheetView topLeftCell="A2" workbookViewId="0">
      <selection activeCell="H8" sqref="H8"/>
    </sheetView>
  </sheetViews>
  <sheetFormatPr defaultRowHeight="14.5" x14ac:dyDescent="0.35"/>
  <cols>
    <col min="2" max="2" width="18" customWidth="1"/>
    <col min="6" max="6" width="11" customWidth="1"/>
  </cols>
  <sheetData>
    <row r="1" spans="1:6" x14ac:dyDescent="0.35">
      <c r="A1" s="2" t="s">
        <v>37</v>
      </c>
      <c r="B1" s="2"/>
      <c r="C1" s="2"/>
      <c r="D1" s="2"/>
      <c r="E1" s="2"/>
    </row>
    <row r="2" spans="1:6" x14ac:dyDescent="0.35">
      <c r="A2" s="2" t="s">
        <v>38</v>
      </c>
      <c r="B2" s="2"/>
      <c r="C2" s="2"/>
      <c r="D2" s="2"/>
      <c r="E2" s="2"/>
    </row>
    <row r="4" spans="1:6" x14ac:dyDescent="0.35">
      <c r="A4" s="1" t="s">
        <v>39</v>
      </c>
      <c r="B4" s="1" t="s">
        <v>40</v>
      </c>
      <c r="C4" s="1" t="s">
        <v>51</v>
      </c>
      <c r="D4" s="1" t="s">
        <v>52</v>
      </c>
      <c r="E4" s="1" t="s">
        <v>53</v>
      </c>
      <c r="F4" s="1" t="s">
        <v>65</v>
      </c>
    </row>
    <row r="5" spans="1:6" x14ac:dyDescent="0.35">
      <c r="A5" s="1">
        <v>1</v>
      </c>
      <c r="B5" s="1" t="s">
        <v>41</v>
      </c>
      <c r="C5" s="1">
        <v>20</v>
      </c>
      <c r="D5" s="1">
        <v>40000</v>
      </c>
      <c r="E5" s="1">
        <f>D5*C5</f>
        <v>800000</v>
      </c>
      <c r="F5" s="1" t="str">
        <f>IF(E5&gt;500000,"Expensive","Lets Buy it")</f>
        <v>Expensive</v>
      </c>
    </row>
    <row r="6" spans="1:6" x14ac:dyDescent="0.35">
      <c r="A6" s="1">
        <v>2</v>
      </c>
      <c r="B6" s="1" t="s">
        <v>42</v>
      </c>
      <c r="C6" s="1">
        <v>30</v>
      </c>
      <c r="D6" s="1">
        <v>20000</v>
      </c>
      <c r="E6" s="1">
        <f t="shared" ref="E6:E14" si="0">D6*C6</f>
        <v>600000</v>
      </c>
      <c r="F6" s="1" t="str">
        <f t="shared" ref="F6:F14" si="1">IF(E6&gt;500000,"Expensive","Lets Buy it")</f>
        <v>Expensive</v>
      </c>
    </row>
    <row r="7" spans="1:6" x14ac:dyDescent="0.35">
      <c r="A7" s="1">
        <v>3</v>
      </c>
      <c r="B7" s="1" t="s">
        <v>43</v>
      </c>
      <c r="C7" s="1">
        <v>15</v>
      </c>
      <c r="D7" s="1">
        <v>10000</v>
      </c>
      <c r="E7" s="1">
        <f t="shared" si="0"/>
        <v>150000</v>
      </c>
      <c r="F7" s="1" t="str">
        <f t="shared" si="1"/>
        <v>Lets Buy it</v>
      </c>
    </row>
    <row r="8" spans="1:6" x14ac:dyDescent="0.35">
      <c r="A8" s="1">
        <v>4</v>
      </c>
      <c r="B8" s="1" t="s">
        <v>44</v>
      </c>
      <c r="C8" s="1">
        <v>14</v>
      </c>
      <c r="D8" s="1">
        <v>15000</v>
      </c>
      <c r="E8" s="1">
        <f t="shared" si="0"/>
        <v>210000</v>
      </c>
      <c r="F8" s="1" t="str">
        <f t="shared" si="1"/>
        <v>Lets Buy it</v>
      </c>
    </row>
    <row r="9" spans="1:6" x14ac:dyDescent="0.35">
      <c r="A9" s="1">
        <v>5</v>
      </c>
      <c r="B9" s="1" t="s">
        <v>45</v>
      </c>
      <c r="C9" s="1">
        <v>18</v>
      </c>
      <c r="D9" s="1">
        <v>20000</v>
      </c>
      <c r="E9" s="1">
        <f t="shared" si="0"/>
        <v>360000</v>
      </c>
      <c r="F9" s="1" t="str">
        <f t="shared" si="1"/>
        <v>Lets Buy it</v>
      </c>
    </row>
    <row r="10" spans="1:6" x14ac:dyDescent="0.35">
      <c r="A10" s="1">
        <v>6</v>
      </c>
      <c r="B10" s="1" t="s">
        <v>46</v>
      </c>
      <c r="C10" s="1">
        <v>17</v>
      </c>
      <c r="D10" s="1">
        <v>2000</v>
      </c>
      <c r="E10" s="1">
        <f t="shared" si="0"/>
        <v>34000</v>
      </c>
      <c r="F10" s="1" t="str">
        <f t="shared" si="1"/>
        <v>Lets Buy it</v>
      </c>
    </row>
    <row r="11" spans="1:6" x14ac:dyDescent="0.35">
      <c r="A11" s="1">
        <v>7</v>
      </c>
      <c r="B11" s="1" t="s">
        <v>47</v>
      </c>
      <c r="C11" s="1">
        <v>10</v>
      </c>
      <c r="D11" s="1">
        <v>25000</v>
      </c>
      <c r="E11" s="1">
        <f t="shared" si="0"/>
        <v>250000</v>
      </c>
      <c r="F11" s="1" t="str">
        <f t="shared" si="1"/>
        <v>Lets Buy it</v>
      </c>
    </row>
    <row r="12" spans="1:6" x14ac:dyDescent="0.35">
      <c r="A12" s="1">
        <v>8</v>
      </c>
      <c r="B12" s="1" t="s">
        <v>48</v>
      </c>
      <c r="C12" s="1">
        <v>5</v>
      </c>
      <c r="D12" s="1">
        <v>250</v>
      </c>
      <c r="E12" s="1">
        <f t="shared" si="0"/>
        <v>1250</v>
      </c>
      <c r="F12" s="1" t="str">
        <f t="shared" si="1"/>
        <v>Lets Buy it</v>
      </c>
    </row>
    <row r="13" spans="1:6" x14ac:dyDescent="0.35">
      <c r="A13" s="1">
        <v>9</v>
      </c>
      <c r="B13" s="1" t="s">
        <v>49</v>
      </c>
      <c r="C13" s="1">
        <v>25</v>
      </c>
      <c r="D13" s="1">
        <v>100</v>
      </c>
      <c r="E13" s="1">
        <f t="shared" si="0"/>
        <v>2500</v>
      </c>
      <c r="F13" s="1" t="str">
        <f t="shared" si="1"/>
        <v>Lets Buy it</v>
      </c>
    </row>
    <row r="14" spans="1:6" x14ac:dyDescent="0.35">
      <c r="A14" s="1">
        <v>10</v>
      </c>
      <c r="B14" s="1" t="s">
        <v>50</v>
      </c>
      <c r="C14" s="1">
        <v>30</v>
      </c>
      <c r="D14" s="1">
        <v>12000</v>
      </c>
      <c r="E14" s="1">
        <f t="shared" si="0"/>
        <v>360000</v>
      </c>
      <c r="F14" s="1" t="str">
        <f t="shared" si="1"/>
        <v>Lets Buy it</v>
      </c>
    </row>
    <row r="16" spans="1:6" x14ac:dyDescent="0.35">
      <c r="A16" t="s">
        <v>54</v>
      </c>
    </row>
    <row r="17" spans="1:4" x14ac:dyDescent="0.35">
      <c r="A17" t="s">
        <v>55</v>
      </c>
    </row>
    <row r="18" spans="1:4" x14ac:dyDescent="0.35">
      <c r="A18" t="s">
        <v>56</v>
      </c>
      <c r="B18">
        <f>COUNTA(B5:B14)</f>
        <v>10</v>
      </c>
    </row>
    <row r="19" spans="1:4" x14ac:dyDescent="0.35">
      <c r="A19" t="s">
        <v>57</v>
      </c>
    </row>
    <row r="20" spans="1:4" x14ac:dyDescent="0.35">
      <c r="A20" t="s">
        <v>58</v>
      </c>
      <c r="D20">
        <f>COUNTIF(C5:C14,"&gt;20")</f>
        <v>3</v>
      </c>
    </row>
    <row r="21" spans="1:4" x14ac:dyDescent="0.35">
      <c r="A21" t="s">
        <v>59</v>
      </c>
      <c r="D21">
        <f>COUNTIF(C5:C14,"&lt;20")</f>
        <v>6</v>
      </c>
    </row>
    <row r="23" spans="1:4" x14ac:dyDescent="0.35">
      <c r="A23" t="s">
        <v>63</v>
      </c>
    </row>
    <row r="24" spans="1:4" x14ac:dyDescent="0.35">
      <c r="A24" t="s">
        <v>60</v>
      </c>
      <c r="B24">
        <f>_xlfn.XLOOKUP(B11,B5:B14,C5:C14,,0,)</f>
        <v>10</v>
      </c>
    </row>
    <row r="25" spans="1:4" x14ac:dyDescent="0.35">
      <c r="A25" t="s">
        <v>61</v>
      </c>
      <c r="B25">
        <f>_xlfn.XLOOKUP(B11,B5:B14,D5:D14,,0,)</f>
        <v>25000</v>
      </c>
    </row>
    <row r="26" spans="1:4" x14ac:dyDescent="0.35">
      <c r="A26" t="s">
        <v>62</v>
      </c>
      <c r="B26">
        <f>_xlfn.XLOOKUP(B11,B5:B14,E5:E14,,0,)</f>
        <v>250000</v>
      </c>
    </row>
    <row r="27" spans="1:4" x14ac:dyDescent="0.35">
      <c r="A27" t="s">
        <v>64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A87F-02AE-4909-A9E6-088BD6F06133}">
  <dimension ref="A1:G21"/>
  <sheetViews>
    <sheetView workbookViewId="0">
      <selection activeCell="J7" sqref="J7"/>
    </sheetView>
  </sheetViews>
  <sheetFormatPr defaultRowHeight="14.5" x14ac:dyDescent="0.35"/>
  <cols>
    <col min="1" max="1" width="11.1796875" customWidth="1"/>
  </cols>
  <sheetData>
    <row r="1" spans="1:7" x14ac:dyDescent="0.35">
      <c r="A1" s="2" t="s">
        <v>66</v>
      </c>
      <c r="B1" s="2"/>
      <c r="C1" s="2"/>
      <c r="D1" s="2"/>
      <c r="E1" s="2"/>
      <c r="F1" s="2"/>
      <c r="G1" s="2"/>
    </row>
    <row r="3" spans="1:7" x14ac:dyDescent="0.35">
      <c r="A3" s="1" t="s">
        <v>67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83</v>
      </c>
      <c r="G3" s="1" t="s">
        <v>65</v>
      </c>
    </row>
    <row r="4" spans="1:7" x14ac:dyDescent="0.35">
      <c r="A4" s="1" t="s">
        <v>68</v>
      </c>
      <c r="B4" s="1">
        <v>20</v>
      </c>
      <c r="C4" s="1">
        <v>15</v>
      </c>
      <c r="D4" s="1">
        <v>20</v>
      </c>
      <c r="E4" s="1">
        <f>SUM(B4:D4)</f>
        <v>55</v>
      </c>
      <c r="F4" s="1">
        <f>AVERAGE(B4:D4)</f>
        <v>18.333333333333332</v>
      </c>
      <c r="G4" s="1" t="str">
        <f>IF(F4&gt;20,"A",IF(F4&gt;15,"B","C"))</f>
        <v>B</v>
      </c>
    </row>
    <row r="5" spans="1:7" x14ac:dyDescent="0.35">
      <c r="A5" s="1" t="s">
        <v>69</v>
      </c>
      <c r="B5" s="1">
        <v>30</v>
      </c>
      <c r="C5" s="1">
        <v>12</v>
      </c>
      <c r="D5" s="1">
        <v>15</v>
      </c>
      <c r="E5" s="1">
        <f t="shared" ref="E5:E12" si="0">SUM(B5:D5)</f>
        <v>57</v>
      </c>
      <c r="F5" s="1">
        <f t="shared" ref="F5:F12" si="1">AVERAGE(B5:D5)</f>
        <v>19</v>
      </c>
      <c r="G5" s="1" t="str">
        <f t="shared" ref="G5:G12" si="2">IF(F5&gt;20,"A",IF(F5&gt;15,"B","C"))</f>
        <v>B</v>
      </c>
    </row>
    <row r="6" spans="1:7" x14ac:dyDescent="0.35">
      <c r="A6" s="1" t="s">
        <v>70</v>
      </c>
      <c r="B6" s="1">
        <v>15</v>
      </c>
      <c r="C6" s="1">
        <v>14</v>
      </c>
      <c r="D6" s="1">
        <v>14</v>
      </c>
      <c r="E6" s="1">
        <f t="shared" si="0"/>
        <v>43</v>
      </c>
      <c r="F6" s="1">
        <f t="shared" si="1"/>
        <v>14.333333333333334</v>
      </c>
      <c r="G6" s="1" t="str">
        <f t="shared" si="2"/>
        <v>C</v>
      </c>
    </row>
    <row r="7" spans="1:7" x14ac:dyDescent="0.35">
      <c r="A7" s="1" t="s">
        <v>71</v>
      </c>
      <c r="B7" s="1">
        <v>12</v>
      </c>
      <c r="C7" s="1">
        <v>17</v>
      </c>
      <c r="D7" s="1">
        <v>17</v>
      </c>
      <c r="E7" s="1">
        <f t="shared" si="0"/>
        <v>46</v>
      </c>
      <c r="F7" s="1">
        <f t="shared" si="1"/>
        <v>15.333333333333334</v>
      </c>
      <c r="G7" s="1" t="str">
        <f t="shared" si="2"/>
        <v>B</v>
      </c>
    </row>
    <row r="8" spans="1:7" x14ac:dyDescent="0.35">
      <c r="A8" s="1" t="s">
        <v>72</v>
      </c>
      <c r="B8" s="1">
        <v>14</v>
      </c>
      <c r="C8" s="1">
        <v>18</v>
      </c>
      <c r="D8" s="1">
        <v>18</v>
      </c>
      <c r="E8" s="1">
        <f t="shared" si="0"/>
        <v>50</v>
      </c>
      <c r="F8" s="1">
        <f t="shared" si="1"/>
        <v>16.666666666666668</v>
      </c>
      <c r="G8" s="1" t="str">
        <f t="shared" si="2"/>
        <v>B</v>
      </c>
    </row>
    <row r="9" spans="1:7" x14ac:dyDescent="0.35">
      <c r="A9" s="1" t="s">
        <v>73</v>
      </c>
      <c r="B9" s="1">
        <v>16</v>
      </c>
      <c r="C9" s="1">
        <v>25</v>
      </c>
      <c r="D9" s="1">
        <v>20</v>
      </c>
      <c r="E9" s="1">
        <f t="shared" si="0"/>
        <v>61</v>
      </c>
      <c r="F9" s="1">
        <f t="shared" si="1"/>
        <v>20.333333333333332</v>
      </c>
      <c r="G9" s="1" t="str">
        <f t="shared" si="2"/>
        <v>A</v>
      </c>
    </row>
    <row r="10" spans="1:7" x14ac:dyDescent="0.35">
      <c r="A10" s="1" t="s">
        <v>74</v>
      </c>
      <c r="B10" s="1">
        <v>18</v>
      </c>
      <c r="C10" s="1">
        <v>21</v>
      </c>
      <c r="D10" s="1">
        <v>22</v>
      </c>
      <c r="E10" s="1">
        <f t="shared" si="0"/>
        <v>61</v>
      </c>
      <c r="F10" s="1">
        <f t="shared" si="1"/>
        <v>20.333333333333332</v>
      </c>
      <c r="G10" s="1" t="str">
        <f t="shared" si="2"/>
        <v>A</v>
      </c>
    </row>
    <row r="11" spans="1:7" x14ac:dyDescent="0.35">
      <c r="A11" s="1" t="s">
        <v>75</v>
      </c>
      <c r="B11" s="1">
        <v>17</v>
      </c>
      <c r="C11" s="1">
        <v>23</v>
      </c>
      <c r="D11" s="1">
        <v>13</v>
      </c>
      <c r="E11" s="1">
        <f t="shared" si="0"/>
        <v>53</v>
      </c>
      <c r="F11" s="1">
        <f t="shared" si="1"/>
        <v>17.666666666666668</v>
      </c>
      <c r="G11" s="1" t="str">
        <f t="shared" si="2"/>
        <v>B</v>
      </c>
    </row>
    <row r="12" spans="1:7" x14ac:dyDescent="0.35">
      <c r="A12" s="1" t="s">
        <v>76</v>
      </c>
      <c r="B12" s="1">
        <v>20</v>
      </c>
      <c r="C12" s="1">
        <v>25</v>
      </c>
      <c r="D12" s="1">
        <v>25</v>
      </c>
      <c r="E12" s="1">
        <f t="shared" si="0"/>
        <v>70</v>
      </c>
      <c r="F12" s="1">
        <f t="shared" si="1"/>
        <v>23.333333333333332</v>
      </c>
      <c r="G12" s="1" t="str">
        <f t="shared" si="2"/>
        <v>A</v>
      </c>
    </row>
    <row r="14" spans="1:7" x14ac:dyDescent="0.35">
      <c r="A14" t="s">
        <v>81</v>
      </c>
    </row>
    <row r="15" spans="1:7" x14ac:dyDescent="0.35">
      <c r="A15" t="s">
        <v>56</v>
      </c>
      <c r="B15">
        <f>COUNTA(A4:A12)</f>
        <v>9</v>
      </c>
    </row>
    <row r="16" spans="1:7" x14ac:dyDescent="0.35">
      <c r="A16" t="s">
        <v>82</v>
      </c>
    </row>
    <row r="17" spans="1:2" x14ac:dyDescent="0.35">
      <c r="A17" t="s">
        <v>56</v>
      </c>
      <c r="B17">
        <f>COUNTIF(B4:B12,"&gt;20")</f>
        <v>1</v>
      </c>
    </row>
    <row r="18" spans="1:2" x14ac:dyDescent="0.35">
      <c r="A18" t="s">
        <v>84</v>
      </c>
    </row>
    <row r="19" spans="1:2" x14ac:dyDescent="0.35">
      <c r="A19" t="s">
        <v>85</v>
      </c>
    </row>
    <row r="20" spans="1:2" x14ac:dyDescent="0.35">
      <c r="A20" t="s">
        <v>86</v>
      </c>
    </row>
    <row r="21" spans="1:2" x14ac:dyDescent="0.35">
      <c r="A21" t="s">
        <v>56</v>
      </c>
      <c r="B21">
        <f>SUM(E5:E7)/AVERAGE(F5:F7)</f>
        <v>8.9999999999999982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2DE1-37AE-479C-B23C-7A4A1886ABDB}">
  <dimension ref="A1:I25"/>
  <sheetViews>
    <sheetView tabSelected="1" topLeftCell="A12" workbookViewId="0">
      <selection activeCell="C26" sqref="C26"/>
    </sheetView>
  </sheetViews>
  <sheetFormatPr defaultRowHeight="14.5" x14ac:dyDescent="0.35"/>
  <cols>
    <col min="2" max="2" width="13.81640625" customWidth="1"/>
    <col min="3" max="3" width="13.26953125" customWidth="1"/>
  </cols>
  <sheetData>
    <row r="1" spans="1:9" x14ac:dyDescent="0.35">
      <c r="A1" t="s">
        <v>87</v>
      </c>
    </row>
    <row r="3" spans="1:9" x14ac:dyDescent="0.35">
      <c r="A3" s="1" t="s">
        <v>88</v>
      </c>
      <c r="B3" s="1" t="s">
        <v>94</v>
      </c>
      <c r="C3" s="1" t="s">
        <v>97</v>
      </c>
      <c r="D3" s="1" t="s">
        <v>104</v>
      </c>
      <c r="E3" s="1" t="s">
        <v>105</v>
      </c>
      <c r="F3" s="1" t="s">
        <v>112</v>
      </c>
      <c r="G3" s="1" t="s">
        <v>113</v>
      </c>
      <c r="H3" s="1" t="s">
        <v>80</v>
      </c>
      <c r="I3" s="1" t="s">
        <v>65</v>
      </c>
    </row>
    <row r="4" spans="1:9" x14ac:dyDescent="0.35">
      <c r="A4" s="1" t="s">
        <v>5</v>
      </c>
      <c r="B4" s="1" t="s">
        <v>47</v>
      </c>
      <c r="C4" s="1" t="s">
        <v>98</v>
      </c>
      <c r="D4" s="1">
        <v>5000</v>
      </c>
      <c r="E4" s="1">
        <f>(D4*2.5)/100</f>
        <v>125</v>
      </c>
      <c r="F4" s="1">
        <f>(D4*3.5)/100</f>
        <v>175</v>
      </c>
      <c r="G4" s="1">
        <f>(D4*1.5)/100</f>
        <v>75</v>
      </c>
      <c r="H4" s="1">
        <f>SUM(D4:G4)</f>
        <v>5375</v>
      </c>
      <c r="I4" s="1" t="str">
        <f>IF(H4&gt;20000,"A",IF(H4&gt;10000,"B","C"))</f>
        <v>C</v>
      </c>
    </row>
    <row r="5" spans="1:9" x14ac:dyDescent="0.35">
      <c r="A5" s="1" t="s">
        <v>89</v>
      </c>
      <c r="B5" s="1" t="s">
        <v>47</v>
      </c>
      <c r="C5" s="1" t="s">
        <v>99</v>
      </c>
      <c r="D5" s="1">
        <v>8000</v>
      </c>
      <c r="E5" s="1">
        <f t="shared" ref="E5:E11" si="0">(D5*2.5)/100</f>
        <v>200</v>
      </c>
      <c r="F5" s="1">
        <f t="shared" ref="F5:F11" si="1">(D5*3.5)/100</f>
        <v>280</v>
      </c>
      <c r="G5" s="1">
        <f t="shared" ref="G5:G11" si="2">(D5*1.5)/100</f>
        <v>120</v>
      </c>
      <c r="H5" s="1">
        <f t="shared" ref="H5:H11" si="3">SUM(D5:G5)</f>
        <v>8600</v>
      </c>
      <c r="I5" s="1" t="str">
        <f t="shared" ref="I5:I11" si="4">IF(H5&gt;20000,"A",IF(H5&gt;10000,"B","C"))</f>
        <v>C</v>
      </c>
    </row>
    <row r="6" spans="1:9" x14ac:dyDescent="0.35">
      <c r="A6" s="1" t="s">
        <v>7</v>
      </c>
      <c r="B6" s="1" t="s">
        <v>47</v>
      </c>
      <c r="C6" s="1" t="s">
        <v>100</v>
      </c>
      <c r="D6" s="1">
        <v>3000</v>
      </c>
      <c r="E6" s="1">
        <f t="shared" si="0"/>
        <v>75</v>
      </c>
      <c r="F6" s="1">
        <f t="shared" si="1"/>
        <v>105</v>
      </c>
      <c r="G6" s="1">
        <f t="shared" si="2"/>
        <v>45</v>
      </c>
      <c r="H6" s="1">
        <f t="shared" si="3"/>
        <v>3225</v>
      </c>
      <c r="I6" s="1" t="str">
        <f t="shared" si="4"/>
        <v>C</v>
      </c>
    </row>
    <row r="7" spans="1:9" x14ac:dyDescent="0.35">
      <c r="A7" s="1" t="s">
        <v>10</v>
      </c>
      <c r="B7" s="1" t="s">
        <v>95</v>
      </c>
      <c r="C7" s="1" t="s">
        <v>101</v>
      </c>
      <c r="D7" s="1">
        <v>6000</v>
      </c>
      <c r="E7" s="1">
        <f t="shared" si="0"/>
        <v>150</v>
      </c>
      <c r="F7" s="1">
        <f t="shared" si="1"/>
        <v>210</v>
      </c>
      <c r="G7" s="1">
        <f t="shared" si="2"/>
        <v>90</v>
      </c>
      <c r="H7" s="1">
        <f t="shared" si="3"/>
        <v>6450</v>
      </c>
      <c r="I7" s="1" t="str">
        <f t="shared" si="4"/>
        <v>C</v>
      </c>
    </row>
    <row r="8" spans="1:9" x14ac:dyDescent="0.35">
      <c r="A8" s="1" t="s">
        <v>90</v>
      </c>
      <c r="B8" s="1" t="s">
        <v>95</v>
      </c>
      <c r="C8" s="1" t="s">
        <v>102</v>
      </c>
      <c r="D8" s="1">
        <v>8000</v>
      </c>
      <c r="E8" s="1">
        <f t="shared" si="0"/>
        <v>200</v>
      </c>
      <c r="F8" s="1">
        <f t="shared" si="1"/>
        <v>280</v>
      </c>
      <c r="G8" s="1">
        <f t="shared" si="2"/>
        <v>120</v>
      </c>
      <c r="H8" s="1">
        <f t="shared" si="3"/>
        <v>8600</v>
      </c>
      <c r="I8" s="1" t="str">
        <f t="shared" si="4"/>
        <v>C</v>
      </c>
    </row>
    <row r="9" spans="1:9" x14ac:dyDescent="0.35">
      <c r="A9" s="1" t="s">
        <v>91</v>
      </c>
      <c r="B9" s="1" t="s">
        <v>95</v>
      </c>
      <c r="C9" s="1" t="s">
        <v>103</v>
      </c>
      <c r="D9" s="1">
        <v>9000</v>
      </c>
      <c r="E9" s="1">
        <f t="shared" si="0"/>
        <v>225</v>
      </c>
      <c r="F9" s="1">
        <f t="shared" si="1"/>
        <v>315</v>
      </c>
      <c r="G9" s="1">
        <f t="shared" si="2"/>
        <v>135</v>
      </c>
      <c r="H9" s="1">
        <f t="shared" si="3"/>
        <v>9675</v>
      </c>
      <c r="I9" s="1" t="str">
        <f t="shared" si="4"/>
        <v>C</v>
      </c>
    </row>
    <row r="10" spans="1:9" x14ac:dyDescent="0.35">
      <c r="A10" s="1" t="s">
        <v>92</v>
      </c>
      <c r="B10" s="1" t="s">
        <v>96</v>
      </c>
      <c r="C10" s="1" t="s">
        <v>98</v>
      </c>
      <c r="D10" s="1">
        <v>10000</v>
      </c>
      <c r="E10" s="1">
        <f t="shared" si="0"/>
        <v>250</v>
      </c>
      <c r="F10" s="1">
        <f t="shared" si="1"/>
        <v>350</v>
      </c>
      <c r="G10" s="1">
        <f t="shared" si="2"/>
        <v>150</v>
      </c>
      <c r="H10" s="1">
        <f t="shared" si="3"/>
        <v>10750</v>
      </c>
      <c r="I10" s="1" t="str">
        <f t="shared" si="4"/>
        <v>B</v>
      </c>
    </row>
    <row r="11" spans="1:9" x14ac:dyDescent="0.35">
      <c r="A11" s="1" t="s">
        <v>93</v>
      </c>
      <c r="B11" s="1" t="s">
        <v>96</v>
      </c>
      <c r="C11" s="1" t="s">
        <v>101</v>
      </c>
      <c r="D11" s="1">
        <v>5000</v>
      </c>
      <c r="E11" s="1">
        <f t="shared" si="0"/>
        <v>125</v>
      </c>
      <c r="F11" s="1">
        <f t="shared" si="1"/>
        <v>175</v>
      </c>
      <c r="G11" s="1">
        <f t="shared" si="2"/>
        <v>75</v>
      </c>
      <c r="H11" s="1">
        <f t="shared" si="3"/>
        <v>5375</v>
      </c>
      <c r="I11" s="1" t="str">
        <f t="shared" si="4"/>
        <v>C</v>
      </c>
    </row>
    <row r="13" spans="1:9" x14ac:dyDescent="0.35">
      <c r="A13" t="s">
        <v>106</v>
      </c>
    </row>
    <row r="14" spans="1:9" x14ac:dyDescent="0.35">
      <c r="A14" t="s">
        <v>107</v>
      </c>
      <c r="C14">
        <f>COUNTIF(B3:B11,"COMPUTER")</f>
        <v>3</v>
      </c>
    </row>
    <row r="15" spans="1:9" x14ac:dyDescent="0.35">
      <c r="A15" t="s">
        <v>108</v>
      </c>
      <c r="C15">
        <f>COUNTIF(B4:B11,"FINANCE")</f>
        <v>2</v>
      </c>
    </row>
    <row r="16" spans="1:9" x14ac:dyDescent="0.35">
      <c r="A16" t="s">
        <v>95</v>
      </c>
      <c r="C16">
        <f>COUNTIF(B4:B11,"ELECTRICAL")</f>
        <v>3</v>
      </c>
    </row>
    <row r="17" spans="1:7" x14ac:dyDescent="0.35">
      <c r="A17" t="s">
        <v>109</v>
      </c>
    </row>
    <row r="18" spans="1:7" x14ac:dyDescent="0.35">
      <c r="A18" t="s">
        <v>110</v>
      </c>
      <c r="B18">
        <f>SUMIF(B4:B11,"COMPUTER",D4:D11)</f>
        <v>16000</v>
      </c>
    </row>
    <row r="19" spans="1:7" x14ac:dyDescent="0.35">
      <c r="A19" t="s">
        <v>111</v>
      </c>
    </row>
    <row r="20" spans="1:7" x14ac:dyDescent="0.35">
      <c r="A20" t="s">
        <v>114</v>
      </c>
      <c r="C20" t="str">
        <f>VLOOKUP(A6,A3:H11,3,FALSE)</f>
        <v>PION</v>
      </c>
      <c r="E20" t="s">
        <v>116</v>
      </c>
      <c r="G20" t="str">
        <f>VLOOKUP(A10,A3:H11,3,FALSE)</f>
        <v>MANAGER</v>
      </c>
    </row>
    <row r="21" spans="1:7" x14ac:dyDescent="0.35">
      <c r="A21" t="s">
        <v>115</v>
      </c>
      <c r="C21" t="str">
        <f>VLOOKUP(A6,A3:I11,9,FALSE)</f>
        <v>C</v>
      </c>
      <c r="E21" t="s">
        <v>117</v>
      </c>
      <c r="G21" t="str">
        <f>VLOOKUP(A10,A3:I11,9,FALSE)</f>
        <v>B</v>
      </c>
    </row>
    <row r="22" spans="1:7" x14ac:dyDescent="0.35">
      <c r="A22" t="s">
        <v>118</v>
      </c>
    </row>
    <row r="23" spans="1:7" x14ac:dyDescent="0.35">
      <c r="A23" t="s">
        <v>119</v>
      </c>
    </row>
    <row r="24" spans="1:7" x14ac:dyDescent="0.35">
      <c r="A24" t="s">
        <v>120</v>
      </c>
      <c r="C24">
        <f>COUNTIF(C4:C11,"MANAGER")</f>
        <v>2</v>
      </c>
    </row>
    <row r="25" spans="1:7" x14ac:dyDescent="0.35">
      <c r="A25" t="s">
        <v>121</v>
      </c>
      <c r="C25">
        <f>COUNTIF(C4:C11,"GUARD")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Assignment-1</vt:lpstr>
      <vt:lpstr>Assignment-2</vt:lpstr>
      <vt:lpstr>Assignment-3</vt:lpstr>
      <vt:lpstr>Assignment-4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Pal</dc:creator>
  <cp:lastModifiedBy>Ravindra Pal</cp:lastModifiedBy>
  <dcterms:created xsi:type="dcterms:W3CDTF">2026-07-01T14:24:54Z</dcterms:created>
  <dcterms:modified xsi:type="dcterms:W3CDTF">2026-07-04T14:20:07Z</dcterms:modified>
</cp:coreProperties>
</file>